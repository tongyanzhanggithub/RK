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价差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¥#,##0"/>
    <numFmt numFmtId="165" formatCode="$#,##0.00"/>
    <numFmt numFmtId="166" formatCode="$#,##0"/>
    <numFmt numFmtId="167" formatCode="0.0&quot;x&quot;"/>
    <numFmt numFmtId="168" formatCode="$#,##0.0"/>
  </numFmts>
  <fonts count="14">
    <font>
      <name val="Calibri"/>
      <family val="2"/>
      <color theme="1"/>
      <sz val="11"/>
      <scheme val="minor"/>
    </font>
    <font>
      <name val="Arial"/>
      <b val="1"/>
      <color rgb="001F3A5F"/>
      <sz val="16"/>
    </font>
    <font>
      <name val="Arial"/>
      <color rgb="00555555"/>
      <sz val="10"/>
    </font>
    <font>
      <name val="Arial"/>
      <b val="1"/>
      <color rgb="001F3A5F"/>
      <sz val="12"/>
    </font>
    <font>
      <name val="Arial"/>
      <color rgb="00000000"/>
      <sz val="10"/>
    </font>
    <font>
      <name val="Arial"/>
      <color rgb="009A6A00"/>
      <sz val="10"/>
    </font>
    <font>
      <name val="Arial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0000FF"/>
      <sz val="9"/>
    </font>
    <font>
      <name val="Arial"/>
      <b val="1"/>
      <color rgb="001F3A5F"/>
      <sz val="10"/>
    </font>
    <font>
      <name val="Arial"/>
      <b val="1"/>
      <color rgb="00000000"/>
      <sz val="9"/>
    </font>
    <font>
      <name val="Arial"/>
      <color rgb="009A6A00"/>
      <sz val="9"/>
    </font>
  </fonts>
  <fills count="4">
    <fill>
      <patternFill/>
    </fill>
    <fill>
      <patternFill patternType="gray125"/>
    </fill>
    <fill>
      <patternFill patternType="solid">
        <fgColor rgb="00FFF4C2"/>
      </patternFill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2" fontId="7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164" fontId="10" fillId="2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166" fontId="10" fillId="2" borderId="1" applyAlignment="1" pivotButton="0" quotePrefix="0" xfId="0">
      <alignment horizontal="center" vertical="center" wrapText="1"/>
    </xf>
    <xf numFmtId="167" fontId="11" fillId="0" borderId="1" applyAlignment="1" pivotButton="0" quotePrefix="0" xfId="0">
      <alignment horizontal="center" vertical="center" wrapText="1"/>
    </xf>
    <xf numFmtId="168" fontId="9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6F5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汽摩通用配件 · 国内外价差选品</t>
        </is>
      </c>
    </row>
    <row r="3">
      <c r="B3" s="2" t="inlineStr">
        <is>
          <t>目标：在汽车/摩托通用配件里，挑『国内批发极便宜、海外零售很贵』价差倍数最大的件，面向 英国 / 中东 / 东南亚</t>
        </is>
      </c>
    </row>
    <row r="5">
      <c r="B5" s="3" t="inlineStr">
        <is>
          <t>结论速览</t>
        </is>
      </c>
    </row>
    <row r="6">
      <c r="B6" s="4" t="inlineStr">
        <is>
          <t>价差倍数最大的集中在『电子类 + 改装类通用件』：OBD诊断、LED大灯/转向灯/灯条、无线CarPlay盒子、氛围灯、喇叭、手机支架等。</t>
        </is>
      </c>
    </row>
    <row r="7">
      <c r="B7" s="4" t="inlineStr">
        <is>
          <t>这些件国内批发常 ¥10–100，海外零售 $20–80，价差 4–9 倍；且体积小、重量轻、跨车型通用，最适合独立站走量试销。</t>
        </is>
      </c>
    </row>
    <row r="9">
      <c r="B9" s="3" t="inlineStr">
        <is>
          <t>表格怎么看（『价差排行』标签页）</t>
        </is>
      </c>
    </row>
    <row r="10">
      <c r="B10" s="4" t="inlineStr">
        <is>
          <t>· 国内批发价：1688/AliExpress 批发档低-高区间(¥)，表格自动取中位换成美元。</t>
        </is>
      </c>
    </row>
    <row r="11">
      <c r="B11" s="4" t="inlineStr">
        <is>
          <t>· 英国/中东/东南亚零售价($)：Amazon UK / noon / Lazada-Shopee 同类件零售挂牌价。</t>
        </is>
      </c>
    </row>
    <row r="12">
      <c r="B12" s="4" t="inlineStr">
        <is>
          <t>· 价差倍数 = 英国零售$ ÷ 国内批发$(中)。这是核心排序指标，倍数越高越值得做。</t>
        </is>
      </c>
    </row>
    <row r="13">
      <c r="B13" s="4" t="inlineStr">
        <is>
          <t>· 单件毛利≈ 英国零售$ − 国内批发$(中)，看绝对赚头(未扣运费/平台费，仅作横向对比)。</t>
        </is>
      </c>
    </row>
    <row r="14">
      <c r="B14" s="4" t="inlineStr">
        <is>
          <t>· 建议列：价差倍数排名前 10 自动标『✅ 入选』(绿底)，其余为『备选』。</t>
        </is>
      </c>
    </row>
    <row r="16">
      <c r="B16" s="3" t="inlineStr">
        <is>
          <t>区域匹配提示</t>
        </is>
      </c>
    </row>
    <row r="17">
      <c r="B17" s="4" t="inlineStr">
        <is>
          <t>· 东南亚(印尼/越南/泰国/菲律宾)：摩托车海量 → 摩托LED转向灯、喇叭、CNC手把/后视镜、大灯最旺。</t>
        </is>
      </c>
    </row>
    <row r="18">
      <c r="B18" s="4" t="inlineStr">
        <is>
          <t>· 中东(沙特/阿联酋)：汽车改装+高温 → 氛围灯、灯条、行车记录仪、充气泵、CarPlay 盒子需求强。</t>
        </is>
      </c>
    </row>
    <row r="19">
      <c r="B19" s="5" t="inlineStr">
        <is>
          <t>· 英国：客单价高但合规严 → OBD/CarPlay/记录仪/充气泵好卖；但 LED大灯改装不过 MOT 年检、喇叭有分贝限制，UK 站点需标注『off-road / show use』。</t>
        </is>
      </c>
    </row>
    <row r="21">
      <c r="B21" s="3" t="inlineStr">
        <is>
          <t>重要提醒</t>
        </is>
      </c>
    </row>
    <row r="22">
      <c r="B22" s="4" t="inlineStr">
        <is>
          <t>1) 海外价为零售挂牌价(2026-06)，代表价格天花板；你的独立站定价可略低于它抢量，不要直接照搬。</t>
        </is>
      </c>
    </row>
    <row r="23">
      <c r="B23" s="5" t="inlineStr">
        <is>
          <t>2) 国内批发价为常见批发档估值，黄色格子可按你市场实拿价覆盖，倍数与排名会自动刷新。</t>
        </is>
      </c>
    </row>
    <row r="24">
      <c r="B24" s="5" t="inlineStr">
        <is>
          <t>3) 电子类(OBD/记录仪/启动电源)注意各国认证：英国 UKCA/CE、中东 SASO/G-mark，量大再备证。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6" customWidth="1" min="3" max="3"/>
    <col width="8" customWidth="1" min="4" max="4"/>
    <col width="10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2" customWidth="1" min="11" max="11"/>
    <col width="11" customWidth="1" min="12" max="12"/>
    <col width="9" customWidth="1" min="13" max="13"/>
    <col width="12" customWidth="1" min="14" max="14"/>
    <col width="13" customWidth="1" min="15" max="15"/>
  </cols>
  <sheetData>
    <row r="2">
      <c r="B2" s="6" t="inlineStr">
        <is>
          <t>汇率 ¥/$</t>
        </is>
      </c>
      <c r="C2" s="7" t="n">
        <v>7.2</v>
      </c>
    </row>
    <row r="4" ht="32" customHeight="1">
      <c r="A4" s="8" t="inlineStr">
        <is>
          <t>#</t>
        </is>
      </c>
      <c r="B4" s="8" t="inlineStr">
        <is>
          <t>配件(中)</t>
        </is>
      </c>
      <c r="C4" s="8" t="inlineStr">
        <is>
          <t>Product (EN)</t>
        </is>
      </c>
      <c r="D4" s="8" t="inlineStr">
        <is>
          <t>类型</t>
        </is>
      </c>
      <c r="E4" s="8" t="inlineStr">
        <is>
          <t>国内批发¥低</t>
        </is>
      </c>
      <c r="F4" s="8" t="inlineStr">
        <is>
          <t>国内批发¥高</t>
        </is>
      </c>
      <c r="G4" s="8" t="inlineStr">
        <is>
          <t>国内批发$中</t>
        </is>
      </c>
      <c r="H4" s="8" t="inlineStr">
        <is>
          <t>英国零售$</t>
        </is>
      </c>
      <c r="I4" s="8" t="inlineStr">
        <is>
          <t>东南亚零售$</t>
        </is>
      </c>
      <c r="J4" s="8" t="inlineStr">
        <is>
          <t>中东零售$</t>
        </is>
      </c>
      <c r="K4" s="8" t="inlineStr">
        <is>
          <t>价差倍数(UK/CN)</t>
        </is>
      </c>
      <c r="L4" s="8" t="inlineStr">
        <is>
          <t>单件毛利$≈</t>
        </is>
      </c>
      <c r="M4" s="8" t="inlineStr">
        <is>
          <t>物流轻小1-5</t>
        </is>
      </c>
      <c r="N4" s="8" t="inlineStr">
        <is>
          <t>最旺区域</t>
        </is>
      </c>
      <c r="O4" s="8" t="inlineStr">
        <is>
          <t>建议</t>
        </is>
      </c>
    </row>
    <row r="5">
      <c r="A5" s="9" t="n">
        <v>1</v>
      </c>
      <c r="B5" s="10" t="inlineStr">
        <is>
          <t>OBD2诊断仪 ELM327(蓝牙)</t>
        </is>
      </c>
      <c r="C5" s="10" t="inlineStr">
        <is>
          <t>ELM327 OBD2 scanner (BT)</t>
        </is>
      </c>
      <c r="D5" s="9" t="inlineStr">
        <is>
          <t>通用车</t>
        </is>
      </c>
      <c r="E5" s="11" t="n">
        <v>12</v>
      </c>
      <c r="F5" s="11" t="n">
        <v>30</v>
      </c>
      <c r="G5" s="12">
        <f>(E5+F5)/2/$C$2</f>
        <v/>
      </c>
      <c r="H5" s="13" t="n">
        <v>25</v>
      </c>
      <c r="I5" s="13" t="n">
        <v>10</v>
      </c>
      <c r="J5" s="13" t="n">
        <v>13</v>
      </c>
      <c r="K5" s="14">
        <f>IF(G5=0,"",H5/G5)</f>
        <v/>
      </c>
      <c r="L5" s="15">
        <f>H5-G5</f>
        <v/>
      </c>
      <c r="M5" s="9" t="n">
        <v>5</v>
      </c>
      <c r="N5" s="9" t="inlineStr">
        <is>
          <t>英国/中东</t>
        </is>
      </c>
      <c r="O5" s="16">
        <f>IF(RANK(K5,$K$5:$K$19)&lt;=10,"✅ 入选 Top10","备选")</f>
        <v/>
      </c>
    </row>
    <row r="6">
      <c r="A6" s="9" t="n">
        <v>2</v>
      </c>
      <c r="B6" s="10" t="inlineStr">
        <is>
          <t>H4/H7 LED大灯(对)</t>
        </is>
      </c>
      <c r="C6" s="10" t="inlineStr">
        <is>
          <t>H4/H7 LED headlight kit</t>
        </is>
      </c>
      <c r="D6" s="9" t="inlineStr">
        <is>
          <t>车/摩</t>
        </is>
      </c>
      <c r="E6" s="11" t="n">
        <v>40</v>
      </c>
      <c r="F6" s="11" t="n">
        <v>90</v>
      </c>
      <c r="G6" s="12">
        <f>(E6+F6)/2/$C$2</f>
        <v/>
      </c>
      <c r="H6" s="13" t="n">
        <v>50</v>
      </c>
      <c r="I6" s="13" t="n">
        <v>26</v>
      </c>
      <c r="J6" s="13" t="n">
        <v>30</v>
      </c>
      <c r="K6" s="14">
        <f>IF(G6=0,"",H6/G6)</f>
        <v/>
      </c>
      <c r="L6" s="15">
        <f>H6-G6</f>
        <v/>
      </c>
      <c r="M6" s="9" t="n">
        <v>5</v>
      </c>
      <c r="N6" s="9" t="inlineStr">
        <is>
          <t>东南亚/中东</t>
        </is>
      </c>
      <c r="O6" s="16">
        <f>IF(RANK(K6,$K$5:$K$19)&lt;=10,"✅ 入选 Top10","备选")</f>
        <v/>
      </c>
    </row>
    <row r="7">
      <c r="A7" s="9" t="n">
        <v>3</v>
      </c>
      <c r="B7" s="10" t="inlineStr">
        <is>
          <t>摩托LED转向灯(对)</t>
        </is>
      </c>
      <c r="C7" s="10" t="inlineStr">
        <is>
          <t>Motorcycle LED indicators</t>
        </is>
      </c>
      <c r="D7" s="9" t="inlineStr">
        <is>
          <t>摩托</t>
        </is>
      </c>
      <c r="E7" s="11" t="n">
        <v>15</v>
      </c>
      <c r="F7" s="11" t="n">
        <v>40</v>
      </c>
      <c r="G7" s="12">
        <f>(E7+F7)/2/$C$2</f>
        <v/>
      </c>
      <c r="H7" s="13" t="n">
        <v>20</v>
      </c>
      <c r="I7" s="13" t="n">
        <v>10</v>
      </c>
      <c r="J7" s="13" t="n">
        <v>13</v>
      </c>
      <c r="K7" s="14">
        <f>IF(G7=0,"",H7/G7)</f>
        <v/>
      </c>
      <c r="L7" s="15">
        <f>H7-G7</f>
        <v/>
      </c>
      <c r="M7" s="9" t="n">
        <v>5</v>
      </c>
      <c r="N7" s="9" t="inlineStr">
        <is>
          <t>东南亚</t>
        </is>
      </c>
      <c r="O7" s="16">
        <f>IF(RANK(K7,$K$5:$K$19)&lt;=10,"✅ 入选 Top10","备选")</f>
        <v/>
      </c>
    </row>
    <row r="8">
      <c r="A8" s="9" t="n">
        <v>4</v>
      </c>
      <c r="B8" s="10" t="inlineStr">
        <is>
          <t>无线CarPlay/安卓Auto盒子</t>
        </is>
      </c>
      <c r="C8" s="10" t="inlineStr">
        <is>
          <t>Wireless CarPlay/AA adapter</t>
        </is>
      </c>
      <c r="D8" s="9" t="inlineStr">
        <is>
          <t>车</t>
        </is>
      </c>
      <c r="E8" s="11" t="n">
        <v>90</v>
      </c>
      <c r="F8" s="11" t="n">
        <v>150</v>
      </c>
      <c r="G8" s="12">
        <f>(E8+F8)/2/$C$2</f>
        <v/>
      </c>
      <c r="H8" s="13" t="n">
        <v>75</v>
      </c>
      <c r="I8" s="13" t="n">
        <v>50</v>
      </c>
      <c r="J8" s="13" t="n">
        <v>55</v>
      </c>
      <c r="K8" s="14">
        <f>IF(G8=0,"",H8/G8)</f>
        <v/>
      </c>
      <c r="L8" s="15">
        <f>H8-G8</f>
        <v/>
      </c>
      <c r="M8" s="9" t="n">
        <v>5</v>
      </c>
      <c r="N8" s="9" t="inlineStr">
        <is>
          <t>中东/英国</t>
        </is>
      </c>
      <c r="O8" s="16">
        <f>IF(RANK(K8,$K$5:$K$19)&lt;=10,"✅ 入选 Top10","备选")</f>
        <v/>
      </c>
    </row>
    <row r="9">
      <c r="A9" s="9" t="n">
        <v>5</v>
      </c>
      <c r="B9" s="10" t="inlineStr">
        <is>
          <t>CNC摩托手把/后视镜/牛角</t>
        </is>
      </c>
      <c r="C9" s="10" t="inlineStr">
        <is>
          <t>CNC moto grips/mirrors/levers</t>
        </is>
      </c>
      <c r="D9" s="9" t="inlineStr">
        <is>
          <t>摩托</t>
        </is>
      </c>
      <c r="E9" s="11" t="n">
        <v>35</v>
      </c>
      <c r="F9" s="11" t="n">
        <v>90</v>
      </c>
      <c r="G9" s="12">
        <f>(E9+F9)/2/$C$2</f>
        <v/>
      </c>
      <c r="H9" s="13" t="n">
        <v>40</v>
      </c>
      <c r="I9" s="13" t="n">
        <v>22</v>
      </c>
      <c r="J9" s="13" t="n">
        <v>26</v>
      </c>
      <c r="K9" s="14">
        <f>IF(G9=0,"",H9/G9)</f>
        <v/>
      </c>
      <c r="L9" s="15">
        <f>H9-G9</f>
        <v/>
      </c>
      <c r="M9" s="9" t="n">
        <v>4</v>
      </c>
      <c r="N9" s="9" t="inlineStr">
        <is>
          <t>东南亚</t>
        </is>
      </c>
      <c r="O9" s="16">
        <f>IF(RANK(K9,$K$5:$K$19)&lt;=10,"✅ 入选 Top10","备选")</f>
        <v/>
      </c>
    </row>
    <row r="10">
      <c r="A10" s="9" t="n">
        <v>6</v>
      </c>
      <c r="B10" s="10" t="inlineStr">
        <is>
          <t>车内氛围灯RGB(App控)</t>
        </is>
      </c>
      <c r="C10" s="10" t="inlineStr">
        <is>
          <t>Car ambient RGB light kit</t>
        </is>
      </c>
      <c r="D10" s="9" t="inlineStr">
        <is>
          <t>车</t>
        </is>
      </c>
      <c r="E10" s="11" t="n">
        <v>30</v>
      </c>
      <c r="F10" s="11" t="n">
        <v>65</v>
      </c>
      <c r="G10" s="12">
        <f>(E10+F10)/2/$C$2</f>
        <v/>
      </c>
      <c r="H10" s="13" t="n">
        <v>30</v>
      </c>
      <c r="I10" s="13" t="n">
        <v>18</v>
      </c>
      <c r="J10" s="13" t="n">
        <v>22</v>
      </c>
      <c r="K10" s="14">
        <f>IF(G10=0,"",H10/G10)</f>
        <v/>
      </c>
      <c r="L10" s="15">
        <f>H10-G10</f>
        <v/>
      </c>
      <c r="M10" s="9" t="n">
        <v>5</v>
      </c>
      <c r="N10" s="9" t="inlineStr">
        <is>
          <t>中东</t>
        </is>
      </c>
      <c r="O10" s="16">
        <f>IF(RANK(K10,$K$5:$K$19)&lt;=10,"✅ 入选 Top10","备选")</f>
        <v/>
      </c>
    </row>
    <row r="11">
      <c r="A11" s="9" t="n">
        <v>7</v>
      </c>
      <c r="B11" s="10" t="inlineStr">
        <is>
          <t>蜗牛喇叭/气喇叭</t>
        </is>
      </c>
      <c r="C11" s="10" t="inlineStr">
        <is>
          <t>Snail/air horn</t>
        </is>
      </c>
      <c r="D11" s="9" t="inlineStr">
        <is>
          <t>通用</t>
        </is>
      </c>
      <c r="E11" s="11" t="n">
        <v>20</v>
      </c>
      <c r="F11" s="11" t="n">
        <v>50</v>
      </c>
      <c r="G11" s="12">
        <f>(E11+F11)/2/$C$2</f>
        <v/>
      </c>
      <c r="H11" s="13" t="n">
        <v>22</v>
      </c>
      <c r="I11" s="13" t="n">
        <v>11</v>
      </c>
      <c r="J11" s="13" t="n">
        <v>14</v>
      </c>
      <c r="K11" s="14">
        <f>IF(G11=0,"",H11/G11)</f>
        <v/>
      </c>
      <c r="L11" s="15">
        <f>H11-G11</f>
        <v/>
      </c>
      <c r="M11" s="9" t="n">
        <v>4</v>
      </c>
      <c r="N11" s="9" t="inlineStr">
        <is>
          <t>东南亚/中东</t>
        </is>
      </c>
      <c r="O11" s="16">
        <f>IF(RANK(K11,$K$5:$K$19)&lt;=10,"✅ 入选 Top10","备选")</f>
        <v/>
      </c>
    </row>
    <row r="12">
      <c r="A12" s="9" t="n">
        <v>8</v>
      </c>
      <c r="B12" s="10" t="inlineStr">
        <is>
          <t>LED射灯/灯条(摩/越野)</t>
        </is>
      </c>
      <c r="C12" s="10" t="inlineStr">
        <is>
          <t>LED spotlight/light bar</t>
        </is>
      </c>
      <c r="D12" s="9" t="inlineStr">
        <is>
          <t>通用</t>
        </is>
      </c>
      <c r="E12" s="11" t="n">
        <v>45</v>
      </c>
      <c r="F12" s="11" t="n">
        <v>110</v>
      </c>
      <c r="G12" s="12">
        <f>(E12+F12)/2/$C$2</f>
        <v/>
      </c>
      <c r="H12" s="13" t="n">
        <v>48</v>
      </c>
      <c r="I12" s="13" t="n">
        <v>30</v>
      </c>
      <c r="J12" s="13" t="n">
        <v>35</v>
      </c>
      <c r="K12" s="14">
        <f>IF(G12=0,"",H12/G12)</f>
        <v/>
      </c>
      <c r="L12" s="15">
        <f>H12-G12</f>
        <v/>
      </c>
      <c r="M12" s="9" t="n">
        <v>4</v>
      </c>
      <c r="N12" s="9" t="inlineStr">
        <is>
          <t>中东/东南亚</t>
        </is>
      </c>
      <c r="O12" s="16">
        <f>IF(RANK(K12,$K$5:$K$19)&lt;=10,"✅ 入选 Top10","备选")</f>
        <v/>
      </c>
    </row>
    <row r="13">
      <c r="A13" s="9" t="n">
        <v>9</v>
      </c>
      <c r="B13" s="10" t="inlineStr">
        <is>
          <t>磁吸/无线手机支架</t>
        </is>
      </c>
      <c r="C13" s="10" t="inlineStr">
        <is>
          <t>Magnetic/wireless phone holder</t>
        </is>
      </c>
      <c r="D13" s="9" t="inlineStr">
        <is>
          <t>通用</t>
        </is>
      </c>
      <c r="E13" s="11" t="n">
        <v>15</v>
      </c>
      <c r="F13" s="11" t="n">
        <v>40</v>
      </c>
      <c r="G13" s="12">
        <f>(E13+F13)/2/$C$2</f>
        <v/>
      </c>
      <c r="H13" s="13" t="n">
        <v>16</v>
      </c>
      <c r="I13" s="13" t="n">
        <v>8</v>
      </c>
      <c r="J13" s="13" t="n">
        <v>10</v>
      </c>
      <c r="K13" s="14">
        <f>IF(G13=0,"",H13/G13)</f>
        <v/>
      </c>
      <c r="L13" s="15">
        <f>H13-G13</f>
        <v/>
      </c>
      <c r="M13" s="9" t="n">
        <v>5</v>
      </c>
      <c r="N13" s="9" t="inlineStr">
        <is>
          <t>东南亚</t>
        </is>
      </c>
      <c r="O13" s="16">
        <f>IF(RANK(K13,$K$5:$K$19)&lt;=10,"✅ 入选 Top10","备选")</f>
        <v/>
      </c>
    </row>
    <row r="14">
      <c r="A14" s="9" t="n">
        <v>10</v>
      </c>
      <c r="B14" s="10" t="inlineStr">
        <is>
          <t>行车记录仪 1080p/2K</t>
        </is>
      </c>
      <c r="C14" s="10" t="inlineStr">
        <is>
          <t>Dash cam 1080p/2K</t>
        </is>
      </c>
      <c r="D14" s="9" t="inlineStr">
        <is>
          <t>车</t>
        </is>
      </c>
      <c r="E14" s="11" t="n">
        <v>60</v>
      </c>
      <c r="F14" s="11" t="n">
        <v>130</v>
      </c>
      <c r="G14" s="12">
        <f>(E14+F14)/2/$C$2</f>
        <v/>
      </c>
      <c r="H14" s="13" t="n">
        <v>55</v>
      </c>
      <c r="I14" s="13" t="n">
        <v>40</v>
      </c>
      <c r="J14" s="13" t="n">
        <v>45</v>
      </c>
      <c r="K14" s="14">
        <f>IF(G14=0,"",H14/G14)</f>
        <v/>
      </c>
      <c r="L14" s="15">
        <f>H14-G14</f>
        <v/>
      </c>
      <c r="M14" s="9" t="n">
        <v>5</v>
      </c>
      <c r="N14" s="9" t="inlineStr">
        <is>
          <t>中东/英国</t>
        </is>
      </c>
      <c r="O14" s="16">
        <f>IF(RANK(K14,$K$5:$K$19)&lt;=10,"✅ 入选 Top10","备选")</f>
        <v/>
      </c>
    </row>
    <row r="15">
      <c r="A15" s="9" t="n">
        <v>11</v>
      </c>
      <c r="B15" s="10" t="inlineStr">
        <is>
          <t>便携数显充气泵</t>
        </is>
      </c>
      <c r="C15" s="10" t="inlineStr">
        <is>
          <t>Portable digital tyre inflator</t>
        </is>
      </c>
      <c r="D15" s="9" t="inlineStr">
        <is>
          <t>车</t>
        </is>
      </c>
      <c r="E15" s="11" t="n">
        <v>70</v>
      </c>
      <c r="F15" s="11" t="n">
        <v>130</v>
      </c>
      <c r="G15" s="12">
        <f>(E15+F15)/2/$C$2</f>
        <v/>
      </c>
      <c r="H15" s="13" t="n">
        <v>42</v>
      </c>
      <c r="I15" s="13" t="n">
        <v>30</v>
      </c>
      <c r="J15" s="13" t="n">
        <v>38</v>
      </c>
      <c r="K15" s="14">
        <f>IF(G15=0,"",H15/G15)</f>
        <v/>
      </c>
      <c r="L15" s="15">
        <f>H15-G15</f>
        <v/>
      </c>
      <c r="M15" s="9" t="n">
        <v>4</v>
      </c>
      <c r="N15" s="9" t="inlineStr">
        <is>
          <t>中东/英国</t>
        </is>
      </c>
      <c r="O15" s="16">
        <f>IF(RANK(K15,$K$5:$K$19)&lt;=10,"✅ 入选 Top10","备选")</f>
        <v/>
      </c>
    </row>
    <row r="16">
      <c r="A16" s="9" t="n">
        <v>12</v>
      </c>
      <c r="B16" s="10" t="inlineStr">
        <is>
          <t>太阳能胎压监测 TPMS</t>
        </is>
      </c>
      <c r="C16" s="10" t="inlineStr">
        <is>
          <t>Solar TPMS</t>
        </is>
      </c>
      <c r="D16" s="9" t="inlineStr">
        <is>
          <t>车</t>
        </is>
      </c>
      <c r="E16" s="11" t="n">
        <v>60</v>
      </c>
      <c r="F16" s="11" t="n">
        <v>110</v>
      </c>
      <c r="G16" s="12">
        <f>(E16+F16)/2/$C$2</f>
        <v/>
      </c>
      <c r="H16" s="13" t="n">
        <v>38</v>
      </c>
      <c r="I16" s="13" t="n">
        <v>25</v>
      </c>
      <c r="J16" s="13" t="n">
        <v>30</v>
      </c>
      <c r="K16" s="14">
        <f>IF(G16=0,"",H16/G16)</f>
        <v/>
      </c>
      <c r="L16" s="15">
        <f>H16-G16</f>
        <v/>
      </c>
      <c r="M16" s="9" t="n">
        <v>5</v>
      </c>
      <c r="N16" s="9" t="inlineStr">
        <is>
          <t>中东</t>
        </is>
      </c>
      <c r="O16" s="16">
        <f>IF(RANK(K16,$K$5:$K$19)&lt;=10,"✅ 入选 Top10","备选")</f>
        <v/>
      </c>
    </row>
    <row r="17">
      <c r="A17" s="9" t="n">
        <v>13</v>
      </c>
      <c r="B17" s="10" t="inlineStr">
        <is>
          <t>无线倒车影像套装</t>
        </is>
      </c>
      <c r="C17" s="10" t="inlineStr">
        <is>
          <t>Wireless reversing camera</t>
        </is>
      </c>
      <c r="D17" s="9" t="inlineStr">
        <is>
          <t>车</t>
        </is>
      </c>
      <c r="E17" s="11" t="n">
        <v>80</v>
      </c>
      <c r="F17" s="11" t="n">
        <v>150</v>
      </c>
      <c r="G17" s="12">
        <f>(E17+F17)/2/$C$2</f>
        <v/>
      </c>
      <c r="H17" s="13" t="n">
        <v>60</v>
      </c>
      <c r="I17" s="13" t="n">
        <v>40</v>
      </c>
      <c r="J17" s="13" t="n">
        <v>45</v>
      </c>
      <c r="K17" s="14">
        <f>IF(G17=0,"",H17/G17)</f>
        <v/>
      </c>
      <c r="L17" s="15">
        <f>H17-G17</f>
        <v/>
      </c>
      <c r="M17" s="9" t="n">
        <v>4</v>
      </c>
      <c r="N17" s="9" t="inlineStr">
        <is>
          <t>中东</t>
        </is>
      </c>
      <c r="O17" s="16">
        <f>IF(RANK(K17,$K$5:$K$19)&lt;=10,"✅ 入选 Top10","备选")</f>
        <v/>
      </c>
    </row>
    <row r="18">
      <c r="A18" s="9" t="n">
        <v>14</v>
      </c>
      <c r="B18" s="10" t="inlineStr">
        <is>
          <t>车载无线充支架</t>
        </is>
      </c>
      <c r="C18" s="10" t="inlineStr">
        <is>
          <t>Wireless charging mount</t>
        </is>
      </c>
      <c r="D18" s="9" t="inlineStr">
        <is>
          <t>车</t>
        </is>
      </c>
      <c r="E18" s="11" t="n">
        <v>55</v>
      </c>
      <c r="F18" s="11" t="n">
        <v>110</v>
      </c>
      <c r="G18" s="12">
        <f>(E18+F18)/2/$C$2</f>
        <v/>
      </c>
      <c r="H18" s="13" t="n">
        <v>42</v>
      </c>
      <c r="I18" s="13" t="n">
        <v>28</v>
      </c>
      <c r="J18" s="13" t="n">
        <v>32</v>
      </c>
      <c r="K18" s="14">
        <f>IF(G18=0,"",H18/G18)</f>
        <v/>
      </c>
      <c r="L18" s="15">
        <f>H18-G18</f>
        <v/>
      </c>
      <c r="M18" s="9" t="n">
        <v>5</v>
      </c>
      <c r="N18" s="9" t="inlineStr">
        <is>
          <t>中东/英国</t>
        </is>
      </c>
      <c r="O18" s="16">
        <f>IF(RANK(K18,$K$5:$K$19)&lt;=10,"✅ 入选 Top10","备选")</f>
        <v/>
      </c>
    </row>
    <row r="19">
      <c r="A19" s="9" t="n">
        <v>15</v>
      </c>
      <c r="B19" s="10" t="inlineStr">
        <is>
          <t>应急启动电源</t>
        </is>
      </c>
      <c r="C19" s="10" t="inlineStr">
        <is>
          <t>Jump starter power bank</t>
        </is>
      </c>
      <c r="D19" s="9" t="inlineStr">
        <is>
          <t>车</t>
        </is>
      </c>
      <c r="E19" s="11" t="n">
        <v>100</v>
      </c>
      <c r="F19" s="11" t="n">
        <v>160</v>
      </c>
      <c r="G19" s="12">
        <f>(E19+F19)/2/$C$2</f>
        <v/>
      </c>
      <c r="H19" s="13" t="n">
        <v>45</v>
      </c>
      <c r="I19" s="13" t="n">
        <v>38</v>
      </c>
      <c r="J19" s="13" t="n">
        <v>42</v>
      </c>
      <c r="K19" s="14">
        <f>IF(G19=0,"",H19/G19)</f>
        <v/>
      </c>
      <c r="L19" s="15">
        <f>H19-G19</f>
        <v/>
      </c>
      <c r="M19" s="9" t="n">
        <v>3</v>
      </c>
      <c r="N19" s="9" t="inlineStr">
        <is>
          <t>英国/中东</t>
        </is>
      </c>
      <c r="O19" s="16">
        <f>IF(RANK(K19,$K$5:$K$19)&lt;=10,"✅ 入选 Top10","备选")</f>
        <v/>
      </c>
    </row>
    <row r="21">
      <c r="B21" s="17" t="inlineStr">
        <is>
          <t>排序按『价差倍数』；黄色格子(国内批发价/海外零售价)可按你实拿价覆盖，倍数与建议自动刷新。绿底=价差前10。</t>
        </is>
      </c>
    </row>
  </sheetData>
  <conditionalFormatting sqref="A5:O19">
    <cfRule type="expression" priority="1" dxfId="0">
      <formula>RANK($K5,$K$5:$K$19)&lt;=10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2026-06-13T17:55:56Z</dcterms:created>
  <dcterms:modified xmlns:dcterms="http://purl.org/dc/terms/" xmlns:xsi="http://www.w3.org/2001/XMLSchema-instance" xsi:type="dcterms:W3CDTF">2026-06-13T17:55:56Z</dcterms:modified>
</cp:coreProperties>
</file>