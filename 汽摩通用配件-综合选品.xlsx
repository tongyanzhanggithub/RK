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综合评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¥#,##0"/>
    <numFmt numFmtId="165" formatCode="$#,##0.0"/>
    <numFmt numFmtId="166" formatCode="$#,##0"/>
    <numFmt numFmtId="167" formatCode="0.0&quot;x&quot;"/>
  </numFmts>
  <fonts count="20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555555"/>
      <sz val="10"/>
    </font>
    <font>
      <name val="Arial"/>
      <b val="1"/>
      <color rgb="00C0504D"/>
      <sz val="12"/>
    </font>
    <font>
      <name val="Arial"/>
      <color rgb="00000000"/>
      <sz val="10"/>
    </font>
    <font>
      <name val="Arial"/>
      <color rgb="009A6A00"/>
      <sz val="10"/>
    </font>
    <font>
      <name val="Arial"/>
      <b val="1"/>
      <color rgb="001F3A5F"/>
      <sz val="12"/>
    </font>
    <font>
      <name val="Arial"/>
      <color rgb="00C0504D"/>
      <sz val="10"/>
    </font>
    <font>
      <name val="Arial"/>
      <color rgb="00555555"/>
      <sz val="9"/>
    </font>
    <font>
      <name val="Arial"/>
      <b val="1"/>
      <color rgb="000000FF"/>
      <sz val="9"/>
    </font>
    <font>
      <name val="Arial"/>
      <b val="1"/>
      <color rgb="00555555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color rgb="000000FF"/>
      <sz val="8"/>
    </font>
    <font>
      <name val="Arial"/>
      <b val="1"/>
      <color rgb="001F3A5F"/>
      <sz val="8"/>
    </font>
    <font>
      <name val="Arial"/>
      <b val="1"/>
      <color rgb="000000FF"/>
      <sz val="8"/>
    </font>
    <font>
      <name val="Arial"/>
      <b val="1"/>
      <color rgb="00000000"/>
      <sz val="8"/>
    </font>
    <font>
      <name val="Arial"/>
      <color rgb="009A6A00"/>
      <sz val="9"/>
    </font>
  </fonts>
  <fills count="7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1F3A5F"/>
      </patternFill>
    </fill>
    <fill>
      <patternFill patternType="solid">
        <fgColor rgb="00C0504D"/>
      </patternFill>
    </fill>
    <fill>
      <patternFill patternType="solid">
        <fgColor rgb="00EFEFE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2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/>
    </xf>
    <xf numFmtId="9" fontId="9" fillId="2" borderId="1" applyAlignment="1" pivotButton="0" quotePrefix="0" xfId="0">
      <alignment horizontal="center" vertical="center" wrapText="1"/>
    </xf>
    <xf numFmtId="9" fontId="11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164" fontId="15" fillId="2" borderId="1" applyAlignment="1" pivotButton="0" quotePrefix="0" xfId="0">
      <alignment horizontal="center" vertical="center" wrapText="1"/>
    </xf>
    <xf numFmtId="165" fontId="14" fillId="0" borderId="1" applyAlignment="1" pivotButton="0" quotePrefix="0" xfId="0">
      <alignment horizontal="center" vertical="center" wrapText="1"/>
    </xf>
    <xf numFmtId="166" fontId="15" fillId="2" borderId="1" applyAlignment="1" pivotButton="0" quotePrefix="0" xfId="0">
      <alignment horizontal="center" vertical="center" wrapText="1"/>
    </xf>
    <xf numFmtId="167" fontId="16" fillId="0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2" fontId="18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6F5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汽摩通用配件 · 多维综合选品（含重庆供应链）</t>
        </is>
      </c>
    </row>
    <row r="3">
      <c r="B3" s="2" t="inlineStr">
        <is>
          <t>8维加权：价差×销量×毛利×重庆供应链×竞争×物流×售后×合规。面向 英国/中东/东南亚。</t>
        </is>
      </c>
    </row>
    <row r="5">
      <c r="B5" s="3" t="inlineStr">
        <is>
          <t>核心思路：重庆供应链 = 你的护城河</t>
        </is>
      </c>
    </row>
    <row r="6">
      <c r="B6" s="4" t="inlineStr">
        <is>
          <t>网站定位是『重庆工厂直供』——重庆是全球摩托/小型发动机产业之都(Loncin/Zongshen/Lifan)。摩配件你能工厂直供、OEM、低MOQ、成本最低，别人难抄；</t>
        </is>
      </c>
    </row>
    <row r="7">
      <c r="B7" s="5" t="inlineStr">
        <is>
          <t>而 CarPlay盒子/记录仪/OBD 这类深圳电子件你没有供应链优势，只能和深圳卖家拼价。所以选品应优先压在『重庆能造、又有价差和需求』的摩配件上。</t>
        </is>
      </c>
    </row>
    <row r="9">
      <c r="B9" s="6" t="inlineStr">
        <is>
          <t>八个评估维度（每项 1–5 分，5 最好）</t>
        </is>
      </c>
    </row>
    <row r="10">
      <c r="B10" s="4" t="inlineStr">
        <is>
          <t>1) 价差评分(自动)：英国零售÷国内批发倍数。≥6→5，4.5–6→4，3.5–4.5→3，2.5–3.5→2，&lt;2.5→1。</t>
        </is>
      </c>
    </row>
    <row r="11">
      <c r="B11" s="4" t="inlineStr">
        <is>
          <t>2) 销量需求：海外搜索/成交热度。5=爆款刚需。【手填】</t>
        </is>
      </c>
    </row>
    <row r="12">
      <c r="B12" s="4" t="inlineStr">
        <is>
          <t>3) 毛利评分(自动)：单件绝对赚头$。≥40→5，≥25→4，≥15→3，≥8→2，&lt;8→1。</t>
        </is>
      </c>
    </row>
    <row r="13">
      <c r="B13" s="7" t="inlineStr">
        <is>
          <t>4) 重庆供应链匹配：5=重庆核心集群可工厂直供OEM(摩托CNC件/转向灯/喇叭)；3=部分可配；1=深圳电子件、无本地优势。【手填，护城河维度】</t>
        </is>
      </c>
    </row>
    <row r="14">
      <c r="B14" s="4" t="inlineStr">
        <is>
          <t>5) 竞争蓝海：5=卖家少利润厚；1=红海拼价(通用手机支架/LED灯条已红海)。【手填】</t>
        </is>
      </c>
    </row>
    <row r="15">
      <c r="B15" s="4" t="inlineStr">
        <is>
          <t>6) 物流友好：5=轻小耐摔；1=笨重/易碎/带电受限(充气泵/启动电源运费高)。【手填】</t>
        </is>
      </c>
    </row>
    <row r="16">
      <c r="B16" s="4" t="inlineStr">
        <is>
          <t>7) 售后稳：5=结构简单退货少；1=固件/兼容问题多(OBD/CarPlay/记录仪退货高)。【手填】</t>
        </is>
      </c>
    </row>
    <row r="17">
      <c r="B17" s="4" t="inlineStr">
        <is>
          <t>8) 合规畅：5=无门槛；1=有法规障碍(LED大灯过不了英国MOT、喇叭分贝限制、锂电运输受限)。【手填】</t>
        </is>
      </c>
    </row>
    <row r="19">
      <c r="B19" s="6" t="inlineStr">
        <is>
          <t>权重与排名</t>
        </is>
      </c>
    </row>
    <row r="20">
      <c r="B20" s="4" t="inlineStr">
        <is>
          <t>顶部第5行是8项权重(蓝色可改，合计须=100%)。默认：价差18% 销量20% 毛利12% 重庆供应链20% 竞争10% 物流8% 售后6% 合规6%。</t>
        </is>
      </c>
    </row>
    <row r="21">
      <c r="B21" s="4" t="inlineStr">
        <is>
          <t>综合评分=各维度分×权重之和，按综合评分排名，前10自动『✅入选』整行绿底。想更激进押供应链护城河，把『重庆供应链』权重调到30%+即可。</t>
        </is>
      </c>
    </row>
    <row r="23">
      <c r="B23" s="6" t="inlineStr">
        <is>
          <t>区域 &amp; 合规提醒</t>
        </is>
      </c>
    </row>
    <row r="24">
      <c r="B24" s="4" t="inlineStr">
        <is>
          <t>· 东南亚(摩托海量)：摩托转向灯/喇叭/CNC手把/大灯最旺——与重庆供应链高度重合，主战场。· 中东：氛围灯/灯条/记录仪/CarPlay。· 英国：OBD/CarPlay/记录仪。</t>
        </is>
      </c>
    </row>
    <row r="25">
      <c r="B25" s="5" t="inlineStr">
        <is>
          <t>· 英国：LED大灯不过MOT、喇叭有分贝限制→标注 off-road/show use。电子件英UKCA/CE、中东SASO/G-mark，量大再备证。海外价为零售天花板，国内批发为估值，黄格子可覆盖、排名自动刷新。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2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1" customWidth="1" min="2" max="2"/>
    <col width="22" customWidth="1" min="3" max="3"/>
    <col width="7" customWidth="1" min="4" max="4"/>
    <col width="8" customWidth="1" min="5" max="5"/>
    <col width="8" customWidth="1" min="6" max="6"/>
    <col width="8" customWidth="1" min="7" max="7"/>
    <col width="7" customWidth="1" min="8" max="8"/>
    <col width="8" customWidth="1" min="9" max="9"/>
    <col width="7" customWidth="1" min="10" max="10"/>
    <col width="8" customWidth="1" min="11" max="11"/>
    <col width="7" customWidth="1" min="12" max="12"/>
    <col width="7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5" customWidth="1" min="19" max="19"/>
    <col width="5" customWidth="1" min="20" max="20"/>
    <col width="7" customWidth="1" min="21" max="21"/>
    <col width="5" customWidth="1" min="22" max="22"/>
    <col width="12" customWidth="1" min="23" max="23"/>
  </cols>
  <sheetData>
    <row r="2">
      <c r="B2" s="8" t="inlineStr">
        <is>
          <t>汇率 ¥/$</t>
        </is>
      </c>
      <c r="C2" s="9" t="n">
        <v>7.2</v>
      </c>
    </row>
    <row r="5">
      <c r="L5" s="10" t="inlineStr">
        <is>
          <t>权重→</t>
        </is>
      </c>
      <c r="M5" s="11" t="n">
        <v>0.18</v>
      </c>
      <c r="N5" s="11" t="n">
        <v>0.2</v>
      </c>
      <c r="O5" s="11" t="n">
        <v>0.12</v>
      </c>
      <c r="P5" s="11" t="n">
        <v>0.2</v>
      </c>
      <c r="Q5" s="11" t="n">
        <v>0.1</v>
      </c>
      <c r="R5" s="11" t="n">
        <v>0.08</v>
      </c>
      <c r="S5" s="11" t="n">
        <v>0.06</v>
      </c>
      <c r="T5" s="11" t="n">
        <v>0.06</v>
      </c>
      <c r="U5" s="12">
        <f>SUM(M5:T5)</f>
        <v/>
      </c>
      <c r="V5" s="13">
        <f>IF(ROUND(U5,4)=1,"✓","≠100%")</f>
        <v/>
      </c>
    </row>
    <row r="6" ht="30" customHeight="1">
      <c r="A6" s="14" t="inlineStr">
        <is>
          <t>#</t>
        </is>
      </c>
      <c r="B6" s="14" t="inlineStr">
        <is>
          <t>配件(中)</t>
        </is>
      </c>
      <c r="C6" s="14" t="inlineStr">
        <is>
          <t>Product (EN)</t>
        </is>
      </c>
      <c r="D6" s="14" t="inlineStr">
        <is>
          <t>类型</t>
        </is>
      </c>
      <c r="E6" s="14" t="inlineStr">
        <is>
          <t>批发¥低</t>
        </is>
      </c>
      <c r="F6" s="14" t="inlineStr">
        <is>
          <t>批发¥高</t>
        </is>
      </c>
      <c r="G6" s="14" t="inlineStr">
        <is>
          <t>批发$中</t>
        </is>
      </c>
      <c r="H6" s="14" t="inlineStr">
        <is>
          <t>英国$</t>
        </is>
      </c>
      <c r="I6" s="14" t="inlineStr">
        <is>
          <t>东南亚$</t>
        </is>
      </c>
      <c r="J6" s="14" t="inlineStr">
        <is>
          <t>中东$</t>
        </is>
      </c>
      <c r="K6" s="14" t="inlineStr">
        <is>
          <t>价差倍数</t>
        </is>
      </c>
      <c r="L6" s="14" t="inlineStr">
        <is>
          <t>毛利$</t>
        </is>
      </c>
      <c r="M6" s="14" t="inlineStr">
        <is>
          <t>价差分
(自动)</t>
        </is>
      </c>
      <c r="N6" s="14" t="inlineStr">
        <is>
          <t>销量
需求</t>
        </is>
      </c>
      <c r="O6" s="14" t="inlineStr">
        <is>
          <t>毛利分
(自动)</t>
        </is>
      </c>
      <c r="P6" s="15" t="inlineStr">
        <is>
          <t>重庆
供应链</t>
        </is>
      </c>
      <c r="Q6" s="14" t="inlineStr">
        <is>
          <t>竞争
蓝海</t>
        </is>
      </c>
      <c r="R6" s="14" t="inlineStr">
        <is>
          <t>物流
友好</t>
        </is>
      </c>
      <c r="S6" s="14" t="inlineStr">
        <is>
          <t>售后
稳</t>
        </is>
      </c>
      <c r="T6" s="14" t="inlineStr">
        <is>
          <t>合规
畅</t>
        </is>
      </c>
      <c r="U6" s="14" t="inlineStr">
        <is>
          <t>综合
评分</t>
        </is>
      </c>
      <c r="V6" s="14" t="inlineStr">
        <is>
          <t>排名</t>
        </is>
      </c>
      <c r="W6" s="14" t="inlineStr">
        <is>
          <t>建议</t>
        </is>
      </c>
    </row>
    <row r="7">
      <c r="A7" s="16" t="n">
        <v>1</v>
      </c>
      <c r="B7" s="17" t="inlineStr">
        <is>
          <t>OBD2诊断仪 ELM327</t>
        </is>
      </c>
      <c r="C7" s="17" t="inlineStr">
        <is>
          <t>ELM327 OBD2 scanner</t>
        </is>
      </c>
      <c r="D7" s="16" t="inlineStr">
        <is>
          <t>通用</t>
        </is>
      </c>
      <c r="E7" s="18" t="n">
        <v>12</v>
      </c>
      <c r="F7" s="18" t="n">
        <v>30</v>
      </c>
      <c r="G7" s="19">
        <f>(E7+F7)/2/$C$2</f>
        <v/>
      </c>
      <c r="H7" s="20" t="n">
        <v>25</v>
      </c>
      <c r="I7" s="20" t="n">
        <v>10</v>
      </c>
      <c r="J7" s="20" t="n">
        <v>13</v>
      </c>
      <c r="K7" s="21">
        <f>IF(G7=0,"",H7/G7)</f>
        <v/>
      </c>
      <c r="L7" s="19">
        <f>H7-G7</f>
        <v/>
      </c>
      <c r="M7" s="22">
        <f>IF(K7="","",IF(K7&gt;=6,5,IF(K7&gt;=4.5,4,IF(K7&gt;=3.5,3,IF(K7&gt;=2.5,2,1)))))</f>
        <v/>
      </c>
      <c r="N7" s="23" t="n">
        <v>4</v>
      </c>
      <c r="O7" s="22">
        <f>IF(L7="","",IF(L7&gt;=40,5,IF(L7&gt;=25,4,IF(L7&gt;=15,3,IF(L7&gt;=8,2,1)))))</f>
        <v/>
      </c>
      <c r="P7" s="24" t="n">
        <v>1</v>
      </c>
      <c r="Q7" s="23" t="n">
        <v>2</v>
      </c>
      <c r="R7" s="23" t="n">
        <v>5</v>
      </c>
      <c r="S7" s="23" t="n">
        <v>2</v>
      </c>
      <c r="T7" s="23" t="n">
        <v>4</v>
      </c>
      <c r="U7" s="25">
        <f>M7*$M$5+N7*$N$5+O7*$O$5+P7*$P$5+Q7*$Q$5+R7*$R$5+S7*$S$5+T7*$T$5</f>
        <v/>
      </c>
      <c r="V7" s="26">
        <f>RANK(U7,$U$7:$U$21)</f>
        <v/>
      </c>
      <c r="W7" s="26">
        <f>IF(V7&lt;=10,"✅ 入选 Top10","备选")</f>
        <v/>
      </c>
    </row>
    <row r="8">
      <c r="A8" s="16" t="n">
        <v>2</v>
      </c>
      <c r="B8" s="17" t="inlineStr">
        <is>
          <t>H4/H7 LED大灯(对)</t>
        </is>
      </c>
      <c r="C8" s="17" t="inlineStr">
        <is>
          <t>H4/H7 LED headlight</t>
        </is>
      </c>
      <c r="D8" s="16" t="inlineStr">
        <is>
          <t>车/摩</t>
        </is>
      </c>
      <c r="E8" s="18" t="n">
        <v>40</v>
      </c>
      <c r="F8" s="18" t="n">
        <v>90</v>
      </c>
      <c r="G8" s="19">
        <f>(E8+F8)/2/$C$2</f>
        <v/>
      </c>
      <c r="H8" s="20" t="n">
        <v>50</v>
      </c>
      <c r="I8" s="20" t="n">
        <v>26</v>
      </c>
      <c r="J8" s="20" t="n">
        <v>30</v>
      </c>
      <c r="K8" s="21">
        <f>IF(G8=0,"",H8/G8)</f>
        <v/>
      </c>
      <c r="L8" s="19">
        <f>H8-G8</f>
        <v/>
      </c>
      <c r="M8" s="22">
        <f>IF(K8="","",IF(K8&gt;=6,5,IF(K8&gt;=4.5,4,IF(K8&gt;=3.5,3,IF(K8&gt;=2.5,2,1)))))</f>
        <v/>
      </c>
      <c r="N8" s="23" t="n">
        <v>5</v>
      </c>
      <c r="O8" s="22">
        <f>IF(L8="","",IF(L8&gt;=40,5,IF(L8&gt;=25,4,IF(L8&gt;=15,3,IF(L8&gt;=8,2,1)))))</f>
        <v/>
      </c>
      <c r="P8" s="24" t="n">
        <v>3</v>
      </c>
      <c r="Q8" s="23" t="n">
        <v>2</v>
      </c>
      <c r="R8" s="23" t="n">
        <v>5</v>
      </c>
      <c r="S8" s="23" t="n">
        <v>3</v>
      </c>
      <c r="T8" s="23" t="n">
        <v>2</v>
      </c>
      <c r="U8" s="25">
        <f>M8*$M$5+N8*$N$5+O8*$O$5+P8*$P$5+Q8*$Q$5+R8*$R$5+S8*$S$5+T8*$T$5</f>
        <v/>
      </c>
      <c r="V8" s="26">
        <f>RANK(U8,$U$7:$U$21)</f>
        <v/>
      </c>
      <c r="W8" s="26">
        <f>IF(V8&lt;=10,"✅ 入选 Top10","备选")</f>
        <v/>
      </c>
    </row>
    <row r="9">
      <c r="A9" s="16" t="n">
        <v>3</v>
      </c>
      <c r="B9" s="17" t="inlineStr">
        <is>
          <t>摩托LED转向灯(对)</t>
        </is>
      </c>
      <c r="C9" s="17" t="inlineStr">
        <is>
          <t>Moto LED indicators</t>
        </is>
      </c>
      <c r="D9" s="16" t="inlineStr">
        <is>
          <t>摩托</t>
        </is>
      </c>
      <c r="E9" s="18" t="n">
        <v>15</v>
      </c>
      <c r="F9" s="18" t="n">
        <v>40</v>
      </c>
      <c r="G9" s="19">
        <f>(E9+F9)/2/$C$2</f>
        <v/>
      </c>
      <c r="H9" s="20" t="n">
        <v>20</v>
      </c>
      <c r="I9" s="20" t="n">
        <v>10</v>
      </c>
      <c r="J9" s="20" t="n">
        <v>13</v>
      </c>
      <c r="K9" s="21">
        <f>IF(G9=0,"",H9/G9)</f>
        <v/>
      </c>
      <c r="L9" s="19">
        <f>H9-G9</f>
        <v/>
      </c>
      <c r="M9" s="22">
        <f>IF(K9="","",IF(K9&gt;=6,5,IF(K9&gt;=4.5,4,IF(K9&gt;=3.5,3,IF(K9&gt;=2.5,2,1)))))</f>
        <v/>
      </c>
      <c r="N9" s="23" t="n">
        <v>4</v>
      </c>
      <c r="O9" s="22">
        <f>IF(L9="","",IF(L9&gt;=40,5,IF(L9&gt;=25,4,IF(L9&gt;=15,3,IF(L9&gt;=8,2,1)))))</f>
        <v/>
      </c>
      <c r="P9" s="24" t="n">
        <v>5</v>
      </c>
      <c r="Q9" s="23" t="n">
        <v>3</v>
      </c>
      <c r="R9" s="23" t="n">
        <v>5</v>
      </c>
      <c r="S9" s="23" t="n">
        <v>4</v>
      </c>
      <c r="T9" s="23" t="n">
        <v>3</v>
      </c>
      <c r="U9" s="25">
        <f>M9*$M$5+N9*$N$5+O9*$O$5+P9*$P$5+Q9*$Q$5+R9*$R$5+S9*$S$5+T9*$T$5</f>
        <v/>
      </c>
      <c r="V9" s="26">
        <f>RANK(U9,$U$7:$U$21)</f>
        <v/>
      </c>
      <c r="W9" s="26">
        <f>IF(V9&lt;=10,"✅ 入选 Top10","备选")</f>
        <v/>
      </c>
    </row>
    <row r="10">
      <c r="A10" s="16" t="n">
        <v>4</v>
      </c>
      <c r="B10" s="17" t="inlineStr">
        <is>
          <t>无线CarPlay/Auto盒子</t>
        </is>
      </c>
      <c r="C10" s="17" t="inlineStr">
        <is>
          <t>Wireless CarPlay adapter</t>
        </is>
      </c>
      <c r="D10" s="16" t="inlineStr">
        <is>
          <t>车</t>
        </is>
      </c>
      <c r="E10" s="18" t="n">
        <v>90</v>
      </c>
      <c r="F10" s="18" t="n">
        <v>150</v>
      </c>
      <c r="G10" s="19">
        <f>(E10+F10)/2/$C$2</f>
        <v/>
      </c>
      <c r="H10" s="20" t="n">
        <v>75</v>
      </c>
      <c r="I10" s="20" t="n">
        <v>50</v>
      </c>
      <c r="J10" s="20" t="n">
        <v>55</v>
      </c>
      <c r="K10" s="21">
        <f>IF(G10=0,"",H10/G10)</f>
        <v/>
      </c>
      <c r="L10" s="19">
        <f>H10-G10</f>
        <v/>
      </c>
      <c r="M10" s="22">
        <f>IF(K10="","",IF(K10&gt;=6,5,IF(K10&gt;=4.5,4,IF(K10&gt;=3.5,3,IF(K10&gt;=2.5,2,1)))))</f>
        <v/>
      </c>
      <c r="N10" s="23" t="n">
        <v>5</v>
      </c>
      <c r="O10" s="22">
        <f>IF(L10="","",IF(L10&gt;=40,5,IF(L10&gt;=25,4,IF(L10&gt;=15,3,IF(L10&gt;=8,2,1)))))</f>
        <v/>
      </c>
      <c r="P10" s="24" t="n">
        <v>1</v>
      </c>
      <c r="Q10" s="23" t="n">
        <v>3</v>
      </c>
      <c r="R10" s="23" t="n">
        <v>5</v>
      </c>
      <c r="S10" s="23" t="n">
        <v>2</v>
      </c>
      <c r="T10" s="23" t="n">
        <v>5</v>
      </c>
      <c r="U10" s="25">
        <f>M10*$M$5+N10*$N$5+O10*$O$5+P10*$P$5+Q10*$Q$5+R10*$R$5+S10*$S$5+T10*$T$5</f>
        <v/>
      </c>
      <c r="V10" s="26">
        <f>RANK(U10,$U$7:$U$21)</f>
        <v/>
      </c>
      <c r="W10" s="26">
        <f>IF(V10&lt;=10,"✅ 入选 Top10","备选")</f>
        <v/>
      </c>
    </row>
    <row r="11">
      <c r="A11" s="16" t="n">
        <v>5</v>
      </c>
      <c r="B11" s="17" t="inlineStr">
        <is>
          <t>CNC摩托手把/镜/牛角</t>
        </is>
      </c>
      <c r="C11" s="17" t="inlineStr">
        <is>
          <t>CNC moto grips/mirrors</t>
        </is>
      </c>
      <c r="D11" s="16" t="inlineStr">
        <is>
          <t>摩托</t>
        </is>
      </c>
      <c r="E11" s="18" t="n">
        <v>35</v>
      </c>
      <c r="F11" s="18" t="n">
        <v>90</v>
      </c>
      <c r="G11" s="19">
        <f>(E11+F11)/2/$C$2</f>
        <v/>
      </c>
      <c r="H11" s="20" t="n">
        <v>40</v>
      </c>
      <c r="I11" s="20" t="n">
        <v>22</v>
      </c>
      <c r="J11" s="20" t="n">
        <v>26</v>
      </c>
      <c r="K11" s="21">
        <f>IF(G11=0,"",H11/G11)</f>
        <v/>
      </c>
      <c r="L11" s="19">
        <f>H11-G11</f>
        <v/>
      </c>
      <c r="M11" s="22">
        <f>IF(K11="","",IF(K11&gt;=6,5,IF(K11&gt;=4.5,4,IF(K11&gt;=3.5,3,IF(K11&gt;=2.5,2,1)))))</f>
        <v/>
      </c>
      <c r="N11" s="23" t="n">
        <v>3</v>
      </c>
      <c r="O11" s="22">
        <f>IF(L11="","",IF(L11&gt;=40,5,IF(L11&gt;=25,4,IF(L11&gt;=15,3,IF(L11&gt;=8,2,1)))))</f>
        <v/>
      </c>
      <c r="P11" s="24" t="n">
        <v>5</v>
      </c>
      <c r="Q11" s="23" t="n">
        <v>4</v>
      </c>
      <c r="R11" s="23" t="n">
        <v>4</v>
      </c>
      <c r="S11" s="23" t="n">
        <v>5</v>
      </c>
      <c r="T11" s="23" t="n">
        <v>5</v>
      </c>
      <c r="U11" s="25">
        <f>M11*$M$5+N11*$N$5+O11*$O$5+P11*$P$5+Q11*$Q$5+R11*$R$5+S11*$S$5+T11*$T$5</f>
        <v/>
      </c>
      <c r="V11" s="26">
        <f>RANK(U11,$U$7:$U$21)</f>
        <v/>
      </c>
      <c r="W11" s="26">
        <f>IF(V11&lt;=10,"✅ 入选 Top10","备选")</f>
        <v/>
      </c>
    </row>
    <row r="12">
      <c r="A12" s="16" t="n">
        <v>6</v>
      </c>
      <c r="B12" s="17" t="inlineStr">
        <is>
          <t>车内氛围灯RGB(App)</t>
        </is>
      </c>
      <c r="C12" s="17" t="inlineStr">
        <is>
          <t>Ambient RGB light kit</t>
        </is>
      </c>
      <c r="D12" s="16" t="inlineStr">
        <is>
          <t>车</t>
        </is>
      </c>
      <c r="E12" s="18" t="n">
        <v>30</v>
      </c>
      <c r="F12" s="18" t="n">
        <v>65</v>
      </c>
      <c r="G12" s="19">
        <f>(E12+F12)/2/$C$2</f>
        <v/>
      </c>
      <c r="H12" s="20" t="n">
        <v>30</v>
      </c>
      <c r="I12" s="20" t="n">
        <v>18</v>
      </c>
      <c r="J12" s="20" t="n">
        <v>22</v>
      </c>
      <c r="K12" s="21">
        <f>IF(G12=0,"",H12/G12)</f>
        <v/>
      </c>
      <c r="L12" s="19">
        <f>H12-G12</f>
        <v/>
      </c>
      <c r="M12" s="22">
        <f>IF(K12="","",IF(K12&gt;=6,5,IF(K12&gt;=4.5,4,IF(K12&gt;=3.5,3,IF(K12&gt;=2.5,2,1)))))</f>
        <v/>
      </c>
      <c r="N12" s="23" t="n">
        <v>4</v>
      </c>
      <c r="O12" s="22">
        <f>IF(L12="","",IF(L12&gt;=40,5,IF(L12&gt;=25,4,IF(L12&gt;=15,3,IF(L12&gt;=8,2,1)))))</f>
        <v/>
      </c>
      <c r="P12" s="24" t="n">
        <v>2</v>
      </c>
      <c r="Q12" s="23" t="n">
        <v>3</v>
      </c>
      <c r="R12" s="23" t="n">
        <v>5</v>
      </c>
      <c r="S12" s="23" t="n">
        <v>4</v>
      </c>
      <c r="T12" s="23" t="n">
        <v>5</v>
      </c>
      <c r="U12" s="25">
        <f>M12*$M$5+N12*$N$5+O12*$O$5+P12*$P$5+Q12*$Q$5+R12*$R$5+S12*$S$5+T12*$T$5</f>
        <v/>
      </c>
      <c r="V12" s="26">
        <f>RANK(U12,$U$7:$U$21)</f>
        <v/>
      </c>
      <c r="W12" s="26">
        <f>IF(V12&lt;=10,"✅ 入选 Top10","备选")</f>
        <v/>
      </c>
    </row>
    <row r="13">
      <c r="A13" s="16" t="n">
        <v>7</v>
      </c>
      <c r="B13" s="17" t="inlineStr">
        <is>
          <t>蜗牛/气喇叭</t>
        </is>
      </c>
      <c r="C13" s="17" t="inlineStr">
        <is>
          <t>Snail/air horn</t>
        </is>
      </c>
      <c r="D13" s="16" t="inlineStr">
        <is>
          <t>通用</t>
        </is>
      </c>
      <c r="E13" s="18" t="n">
        <v>20</v>
      </c>
      <c r="F13" s="18" t="n">
        <v>50</v>
      </c>
      <c r="G13" s="19">
        <f>(E13+F13)/2/$C$2</f>
        <v/>
      </c>
      <c r="H13" s="20" t="n">
        <v>22</v>
      </c>
      <c r="I13" s="20" t="n">
        <v>11</v>
      </c>
      <c r="J13" s="20" t="n">
        <v>14</v>
      </c>
      <c r="K13" s="21">
        <f>IF(G13=0,"",H13/G13)</f>
        <v/>
      </c>
      <c r="L13" s="19">
        <f>H13-G13</f>
        <v/>
      </c>
      <c r="M13" s="22">
        <f>IF(K13="","",IF(K13&gt;=6,5,IF(K13&gt;=4.5,4,IF(K13&gt;=3.5,3,IF(K13&gt;=2.5,2,1)))))</f>
        <v/>
      </c>
      <c r="N13" s="23" t="n">
        <v>3</v>
      </c>
      <c r="O13" s="22">
        <f>IF(L13="","",IF(L13&gt;=40,5,IF(L13&gt;=25,4,IF(L13&gt;=15,3,IF(L13&gt;=8,2,1)))))</f>
        <v/>
      </c>
      <c r="P13" s="24" t="n">
        <v>4</v>
      </c>
      <c r="Q13" s="23" t="n">
        <v>4</v>
      </c>
      <c r="R13" s="23" t="n">
        <v>4</v>
      </c>
      <c r="S13" s="23" t="n">
        <v>5</v>
      </c>
      <c r="T13" s="23" t="n">
        <v>3</v>
      </c>
      <c r="U13" s="25">
        <f>M13*$M$5+N13*$N$5+O13*$O$5+P13*$P$5+Q13*$Q$5+R13*$R$5+S13*$S$5+T13*$T$5</f>
        <v/>
      </c>
      <c r="V13" s="26">
        <f>RANK(U13,$U$7:$U$21)</f>
        <v/>
      </c>
      <c r="W13" s="26">
        <f>IF(V13&lt;=10,"✅ 入选 Top10","备选")</f>
        <v/>
      </c>
    </row>
    <row r="14">
      <c r="A14" s="16" t="n">
        <v>8</v>
      </c>
      <c r="B14" s="17" t="inlineStr">
        <is>
          <t>LED射灯/灯条</t>
        </is>
      </c>
      <c r="C14" s="17" t="inlineStr">
        <is>
          <t>LED spotlight/bar</t>
        </is>
      </c>
      <c r="D14" s="16" t="inlineStr">
        <is>
          <t>通用</t>
        </is>
      </c>
      <c r="E14" s="18" t="n">
        <v>45</v>
      </c>
      <c r="F14" s="18" t="n">
        <v>110</v>
      </c>
      <c r="G14" s="19">
        <f>(E14+F14)/2/$C$2</f>
        <v/>
      </c>
      <c r="H14" s="20" t="n">
        <v>48</v>
      </c>
      <c r="I14" s="20" t="n">
        <v>30</v>
      </c>
      <c r="J14" s="20" t="n">
        <v>35</v>
      </c>
      <c r="K14" s="21">
        <f>IF(G14=0,"",H14/G14)</f>
        <v/>
      </c>
      <c r="L14" s="19">
        <f>H14-G14</f>
        <v/>
      </c>
      <c r="M14" s="22">
        <f>IF(K14="","",IF(K14&gt;=6,5,IF(K14&gt;=4.5,4,IF(K14&gt;=3.5,3,IF(K14&gt;=2.5,2,1)))))</f>
        <v/>
      </c>
      <c r="N14" s="23" t="n">
        <v>4</v>
      </c>
      <c r="O14" s="22">
        <f>IF(L14="","",IF(L14&gt;=40,5,IF(L14&gt;=25,4,IF(L14&gt;=15,3,IF(L14&gt;=8,2,1)))))</f>
        <v/>
      </c>
      <c r="P14" s="24" t="n">
        <v>3</v>
      </c>
      <c r="Q14" s="23" t="n">
        <v>3</v>
      </c>
      <c r="R14" s="23" t="n">
        <v>4</v>
      </c>
      <c r="S14" s="23" t="n">
        <v>4</v>
      </c>
      <c r="T14" s="23" t="n">
        <v>3</v>
      </c>
      <c r="U14" s="25">
        <f>M14*$M$5+N14*$N$5+O14*$O$5+P14*$P$5+Q14*$Q$5+R14*$R$5+S14*$S$5+T14*$T$5</f>
        <v/>
      </c>
      <c r="V14" s="26">
        <f>RANK(U14,$U$7:$U$21)</f>
        <v/>
      </c>
      <c r="W14" s="26">
        <f>IF(V14&lt;=10,"✅ 入选 Top10","备选")</f>
        <v/>
      </c>
    </row>
    <row r="15">
      <c r="A15" s="16" t="n">
        <v>9</v>
      </c>
      <c r="B15" s="17" t="inlineStr">
        <is>
          <t>磁吸/无线手机支架</t>
        </is>
      </c>
      <c r="C15" s="17" t="inlineStr">
        <is>
          <t>Phone holder</t>
        </is>
      </c>
      <c r="D15" s="16" t="inlineStr">
        <is>
          <t>通用</t>
        </is>
      </c>
      <c r="E15" s="18" t="n">
        <v>15</v>
      </c>
      <c r="F15" s="18" t="n">
        <v>40</v>
      </c>
      <c r="G15" s="19">
        <f>(E15+F15)/2/$C$2</f>
        <v/>
      </c>
      <c r="H15" s="20" t="n">
        <v>16</v>
      </c>
      <c r="I15" s="20" t="n">
        <v>8</v>
      </c>
      <c r="J15" s="20" t="n">
        <v>10</v>
      </c>
      <c r="K15" s="21">
        <f>IF(G15=0,"",H15/G15)</f>
        <v/>
      </c>
      <c r="L15" s="19">
        <f>H15-G15</f>
        <v/>
      </c>
      <c r="M15" s="22">
        <f>IF(K15="","",IF(K15&gt;=6,5,IF(K15&gt;=4.5,4,IF(K15&gt;=3.5,3,IF(K15&gt;=2.5,2,1)))))</f>
        <v/>
      </c>
      <c r="N15" s="23" t="n">
        <v>5</v>
      </c>
      <c r="O15" s="22">
        <f>IF(L15="","",IF(L15&gt;=40,5,IF(L15&gt;=25,4,IF(L15&gt;=15,3,IF(L15&gt;=8,2,1)))))</f>
        <v/>
      </c>
      <c r="P15" s="24" t="n">
        <v>3</v>
      </c>
      <c r="Q15" s="23" t="n">
        <v>2</v>
      </c>
      <c r="R15" s="23" t="n">
        <v>5</v>
      </c>
      <c r="S15" s="23" t="n">
        <v>5</v>
      </c>
      <c r="T15" s="23" t="n">
        <v>5</v>
      </c>
      <c r="U15" s="25">
        <f>M15*$M$5+N15*$N$5+O15*$O$5+P15*$P$5+Q15*$Q$5+R15*$R$5+S15*$S$5+T15*$T$5</f>
        <v/>
      </c>
      <c r="V15" s="26">
        <f>RANK(U15,$U$7:$U$21)</f>
        <v/>
      </c>
      <c r="W15" s="26">
        <f>IF(V15&lt;=10,"✅ 入选 Top10","备选")</f>
        <v/>
      </c>
    </row>
    <row r="16">
      <c r="A16" s="16" t="n">
        <v>10</v>
      </c>
      <c r="B16" s="17" t="inlineStr">
        <is>
          <t>行车记录仪1080p/2K</t>
        </is>
      </c>
      <c r="C16" s="17" t="inlineStr">
        <is>
          <t>Dash cam</t>
        </is>
      </c>
      <c r="D16" s="16" t="inlineStr">
        <is>
          <t>车</t>
        </is>
      </c>
      <c r="E16" s="18" t="n">
        <v>60</v>
      </c>
      <c r="F16" s="18" t="n">
        <v>130</v>
      </c>
      <c r="G16" s="19">
        <f>(E16+F16)/2/$C$2</f>
        <v/>
      </c>
      <c r="H16" s="20" t="n">
        <v>55</v>
      </c>
      <c r="I16" s="20" t="n">
        <v>40</v>
      </c>
      <c r="J16" s="20" t="n">
        <v>45</v>
      </c>
      <c r="K16" s="21">
        <f>IF(G16=0,"",H16/G16)</f>
        <v/>
      </c>
      <c r="L16" s="19">
        <f>H16-G16</f>
        <v/>
      </c>
      <c r="M16" s="22">
        <f>IF(K16="","",IF(K16&gt;=6,5,IF(K16&gt;=4.5,4,IF(K16&gt;=3.5,3,IF(K16&gt;=2.5,2,1)))))</f>
        <v/>
      </c>
      <c r="N16" s="23" t="n">
        <v>5</v>
      </c>
      <c r="O16" s="22">
        <f>IF(L16="","",IF(L16&gt;=40,5,IF(L16&gt;=25,4,IF(L16&gt;=15,3,IF(L16&gt;=8,2,1)))))</f>
        <v/>
      </c>
      <c r="P16" s="24" t="n">
        <v>1</v>
      </c>
      <c r="Q16" s="23" t="n">
        <v>2</v>
      </c>
      <c r="R16" s="23" t="n">
        <v>4</v>
      </c>
      <c r="S16" s="23" t="n">
        <v>3</v>
      </c>
      <c r="T16" s="23" t="n">
        <v>4</v>
      </c>
      <c r="U16" s="25">
        <f>M16*$M$5+N16*$N$5+O16*$O$5+P16*$P$5+Q16*$Q$5+R16*$R$5+S16*$S$5+T16*$T$5</f>
        <v/>
      </c>
      <c r="V16" s="26">
        <f>RANK(U16,$U$7:$U$21)</f>
        <v/>
      </c>
      <c r="W16" s="26">
        <f>IF(V16&lt;=10,"✅ 入选 Top10","备选")</f>
        <v/>
      </c>
    </row>
    <row r="17">
      <c r="A17" s="16" t="n">
        <v>11</v>
      </c>
      <c r="B17" s="17" t="inlineStr">
        <is>
          <t>便携数显充气泵</t>
        </is>
      </c>
      <c r="C17" s="17" t="inlineStr">
        <is>
          <t>Tyre inflator</t>
        </is>
      </c>
      <c r="D17" s="16" t="inlineStr">
        <is>
          <t>车</t>
        </is>
      </c>
      <c r="E17" s="18" t="n">
        <v>70</v>
      </c>
      <c r="F17" s="18" t="n">
        <v>130</v>
      </c>
      <c r="G17" s="19">
        <f>(E17+F17)/2/$C$2</f>
        <v/>
      </c>
      <c r="H17" s="20" t="n">
        <v>42</v>
      </c>
      <c r="I17" s="20" t="n">
        <v>30</v>
      </c>
      <c r="J17" s="20" t="n">
        <v>38</v>
      </c>
      <c r="K17" s="21">
        <f>IF(G17=0,"",H17/G17)</f>
        <v/>
      </c>
      <c r="L17" s="19">
        <f>H17-G17</f>
        <v/>
      </c>
      <c r="M17" s="22">
        <f>IF(K17="","",IF(K17&gt;=6,5,IF(K17&gt;=4.5,4,IF(K17&gt;=3.5,3,IF(K17&gt;=2.5,2,1)))))</f>
        <v/>
      </c>
      <c r="N17" s="23" t="n">
        <v>5</v>
      </c>
      <c r="O17" s="22">
        <f>IF(L17="","",IF(L17&gt;=40,5,IF(L17&gt;=25,4,IF(L17&gt;=15,3,IF(L17&gt;=8,2,1)))))</f>
        <v/>
      </c>
      <c r="P17" s="24" t="n">
        <v>2</v>
      </c>
      <c r="Q17" s="23" t="n">
        <v>3</v>
      </c>
      <c r="R17" s="23" t="n">
        <v>3</v>
      </c>
      <c r="S17" s="23" t="n">
        <v>3</v>
      </c>
      <c r="T17" s="23" t="n">
        <v>5</v>
      </c>
      <c r="U17" s="25">
        <f>M17*$M$5+N17*$N$5+O17*$O$5+P17*$P$5+Q17*$Q$5+R17*$R$5+S17*$S$5+T17*$T$5</f>
        <v/>
      </c>
      <c r="V17" s="26">
        <f>RANK(U17,$U$7:$U$21)</f>
        <v/>
      </c>
      <c r="W17" s="26">
        <f>IF(V17&lt;=10,"✅ 入选 Top10","备选")</f>
        <v/>
      </c>
    </row>
    <row r="18">
      <c r="A18" s="16" t="n">
        <v>12</v>
      </c>
      <c r="B18" s="17" t="inlineStr">
        <is>
          <t>太阳能TPMS胎压</t>
        </is>
      </c>
      <c r="C18" s="17" t="inlineStr">
        <is>
          <t>Solar TPMS</t>
        </is>
      </c>
      <c r="D18" s="16" t="inlineStr">
        <is>
          <t>车</t>
        </is>
      </c>
      <c r="E18" s="18" t="n">
        <v>60</v>
      </c>
      <c r="F18" s="18" t="n">
        <v>110</v>
      </c>
      <c r="G18" s="19">
        <f>(E18+F18)/2/$C$2</f>
        <v/>
      </c>
      <c r="H18" s="20" t="n">
        <v>38</v>
      </c>
      <c r="I18" s="20" t="n">
        <v>25</v>
      </c>
      <c r="J18" s="20" t="n">
        <v>30</v>
      </c>
      <c r="K18" s="21">
        <f>IF(G18=0,"",H18/G18)</f>
        <v/>
      </c>
      <c r="L18" s="19">
        <f>H18-G18</f>
        <v/>
      </c>
      <c r="M18" s="22">
        <f>IF(K18="","",IF(K18&gt;=6,5,IF(K18&gt;=4.5,4,IF(K18&gt;=3.5,3,IF(K18&gt;=2.5,2,1)))))</f>
        <v/>
      </c>
      <c r="N18" s="23" t="n">
        <v>3</v>
      </c>
      <c r="O18" s="22">
        <f>IF(L18="","",IF(L18&gt;=40,5,IF(L18&gt;=25,4,IF(L18&gt;=15,3,IF(L18&gt;=8,2,1)))))</f>
        <v/>
      </c>
      <c r="P18" s="24" t="n">
        <v>1</v>
      </c>
      <c r="Q18" s="23" t="n">
        <v>3</v>
      </c>
      <c r="R18" s="23" t="n">
        <v>5</v>
      </c>
      <c r="S18" s="23" t="n">
        <v>3</v>
      </c>
      <c r="T18" s="23" t="n">
        <v>5</v>
      </c>
      <c r="U18" s="25">
        <f>M18*$M$5+N18*$N$5+O18*$O$5+P18*$P$5+Q18*$Q$5+R18*$R$5+S18*$S$5+T18*$T$5</f>
        <v/>
      </c>
      <c r="V18" s="26">
        <f>RANK(U18,$U$7:$U$21)</f>
        <v/>
      </c>
      <c r="W18" s="26">
        <f>IF(V18&lt;=10,"✅ 入选 Top10","备选")</f>
        <v/>
      </c>
    </row>
    <row r="19">
      <c r="A19" s="16" t="n">
        <v>13</v>
      </c>
      <c r="B19" s="17" t="inlineStr">
        <is>
          <t>无线倒车影像</t>
        </is>
      </c>
      <c r="C19" s="17" t="inlineStr">
        <is>
          <t>Wireless rear camera</t>
        </is>
      </c>
      <c r="D19" s="16" t="inlineStr">
        <is>
          <t>车</t>
        </is>
      </c>
      <c r="E19" s="18" t="n">
        <v>80</v>
      </c>
      <c r="F19" s="18" t="n">
        <v>150</v>
      </c>
      <c r="G19" s="19">
        <f>(E19+F19)/2/$C$2</f>
        <v/>
      </c>
      <c r="H19" s="20" t="n">
        <v>60</v>
      </c>
      <c r="I19" s="20" t="n">
        <v>40</v>
      </c>
      <c r="J19" s="20" t="n">
        <v>45</v>
      </c>
      <c r="K19" s="21">
        <f>IF(G19=0,"",H19/G19)</f>
        <v/>
      </c>
      <c r="L19" s="19">
        <f>H19-G19</f>
        <v/>
      </c>
      <c r="M19" s="22">
        <f>IF(K19="","",IF(K19&gt;=6,5,IF(K19&gt;=4.5,4,IF(K19&gt;=3.5,3,IF(K19&gt;=2.5,2,1)))))</f>
        <v/>
      </c>
      <c r="N19" s="23" t="n">
        <v>3</v>
      </c>
      <c r="O19" s="22">
        <f>IF(L19="","",IF(L19&gt;=40,5,IF(L19&gt;=25,4,IF(L19&gt;=15,3,IF(L19&gt;=8,2,1)))))</f>
        <v/>
      </c>
      <c r="P19" s="24" t="n">
        <v>1</v>
      </c>
      <c r="Q19" s="23" t="n">
        <v>3</v>
      </c>
      <c r="R19" s="23" t="n">
        <v>4</v>
      </c>
      <c r="S19" s="23" t="n">
        <v>3</v>
      </c>
      <c r="T19" s="23" t="n">
        <v>5</v>
      </c>
      <c r="U19" s="25">
        <f>M19*$M$5+N19*$N$5+O19*$O$5+P19*$P$5+Q19*$Q$5+R19*$R$5+S19*$S$5+T19*$T$5</f>
        <v/>
      </c>
      <c r="V19" s="26">
        <f>RANK(U19,$U$7:$U$21)</f>
        <v/>
      </c>
      <c r="W19" s="26">
        <f>IF(V19&lt;=10,"✅ 入选 Top10","备选")</f>
        <v/>
      </c>
    </row>
    <row r="20">
      <c r="A20" s="16" t="n">
        <v>14</v>
      </c>
      <c r="B20" s="17" t="inlineStr">
        <is>
          <t>车载无线充支架</t>
        </is>
      </c>
      <c r="C20" s="17" t="inlineStr">
        <is>
          <t>Wireless charge mount</t>
        </is>
      </c>
      <c r="D20" s="16" t="inlineStr">
        <is>
          <t>车</t>
        </is>
      </c>
      <c r="E20" s="18" t="n">
        <v>55</v>
      </c>
      <c r="F20" s="18" t="n">
        <v>110</v>
      </c>
      <c r="G20" s="19">
        <f>(E20+F20)/2/$C$2</f>
        <v/>
      </c>
      <c r="H20" s="20" t="n">
        <v>42</v>
      </c>
      <c r="I20" s="20" t="n">
        <v>28</v>
      </c>
      <c r="J20" s="20" t="n">
        <v>32</v>
      </c>
      <c r="K20" s="21">
        <f>IF(G20=0,"",H20/G20)</f>
        <v/>
      </c>
      <c r="L20" s="19">
        <f>H20-G20</f>
        <v/>
      </c>
      <c r="M20" s="22">
        <f>IF(K20="","",IF(K20&gt;=6,5,IF(K20&gt;=4.5,4,IF(K20&gt;=3.5,3,IF(K20&gt;=2.5,2,1)))))</f>
        <v/>
      </c>
      <c r="N20" s="23" t="n">
        <v>4</v>
      </c>
      <c r="O20" s="22">
        <f>IF(L20="","",IF(L20&gt;=40,5,IF(L20&gt;=25,4,IF(L20&gt;=15,3,IF(L20&gt;=8,2,1)))))</f>
        <v/>
      </c>
      <c r="P20" s="24" t="n">
        <v>1</v>
      </c>
      <c r="Q20" s="23" t="n">
        <v>3</v>
      </c>
      <c r="R20" s="23" t="n">
        <v>5</v>
      </c>
      <c r="S20" s="23" t="n">
        <v>4</v>
      </c>
      <c r="T20" s="23" t="n">
        <v>5</v>
      </c>
      <c r="U20" s="25">
        <f>M20*$M$5+N20*$N$5+O20*$O$5+P20*$P$5+Q20*$Q$5+R20*$R$5+S20*$S$5+T20*$T$5</f>
        <v/>
      </c>
      <c r="V20" s="26">
        <f>RANK(U20,$U$7:$U$21)</f>
        <v/>
      </c>
      <c r="W20" s="26">
        <f>IF(V20&lt;=10,"✅ 入选 Top10","备选")</f>
        <v/>
      </c>
    </row>
    <row r="21">
      <c r="A21" s="16" t="n">
        <v>15</v>
      </c>
      <c r="B21" s="17" t="inlineStr">
        <is>
          <t>应急启动电源</t>
        </is>
      </c>
      <c r="C21" s="17" t="inlineStr">
        <is>
          <t>Jump starter</t>
        </is>
      </c>
      <c r="D21" s="16" t="inlineStr">
        <is>
          <t>车</t>
        </is>
      </c>
      <c r="E21" s="18" t="n">
        <v>100</v>
      </c>
      <c r="F21" s="18" t="n">
        <v>160</v>
      </c>
      <c r="G21" s="19">
        <f>(E21+F21)/2/$C$2</f>
        <v/>
      </c>
      <c r="H21" s="20" t="n">
        <v>45</v>
      </c>
      <c r="I21" s="20" t="n">
        <v>38</v>
      </c>
      <c r="J21" s="20" t="n">
        <v>42</v>
      </c>
      <c r="K21" s="21">
        <f>IF(G21=0,"",H21/G21)</f>
        <v/>
      </c>
      <c r="L21" s="19">
        <f>H21-G21</f>
        <v/>
      </c>
      <c r="M21" s="22">
        <f>IF(K21="","",IF(K21&gt;=6,5,IF(K21&gt;=4.5,4,IF(K21&gt;=3.5,3,IF(K21&gt;=2.5,2,1)))))</f>
        <v/>
      </c>
      <c r="N21" s="23" t="n">
        <v>4</v>
      </c>
      <c r="O21" s="22">
        <f>IF(L21="","",IF(L21&gt;=40,5,IF(L21&gt;=25,4,IF(L21&gt;=15,3,IF(L21&gt;=8,2,1)))))</f>
        <v/>
      </c>
      <c r="P21" s="24" t="n">
        <v>1</v>
      </c>
      <c r="Q21" s="23" t="n">
        <v>2</v>
      </c>
      <c r="R21" s="23" t="n">
        <v>2</v>
      </c>
      <c r="S21" s="23" t="n">
        <v>3</v>
      </c>
      <c r="T21" s="23" t="n">
        <v>3</v>
      </c>
      <c r="U21" s="25">
        <f>M21*$M$5+N21*$N$5+O21*$O$5+P21*$P$5+Q21*$Q$5+R21*$R$5+S21*$S$5+T21*$T$5</f>
        <v/>
      </c>
      <c r="V21" s="26">
        <f>RANK(U21,$U$7:$U$21)</f>
        <v/>
      </c>
      <c r="W21" s="26">
        <f>IF(V21&lt;=10,"✅ 入选 Top10","备选")</f>
        <v/>
      </c>
    </row>
    <row r="23">
      <c r="B23" s="27" t="inlineStr">
        <is>
          <t>黄=可现场覆盖输入；橙=重庆供应链匹配(护城河维度)；灰=自动评分。按综合评分排名，前10绿底✅。改权重(第5行)或任意输入，排名自动刷新。</t>
        </is>
      </c>
    </row>
  </sheetData>
  <conditionalFormatting sqref="A7:W21">
    <cfRule type="expression" priority="1" dxfId="0">
      <formula>$V7&lt;=10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2026-06-13T18:05:40Z</dcterms:created>
  <dcterms:modified xmlns:dcterms="http://purl.org/dc/terms/" xmlns:xsi="http://www.w3.org/2001/XMLSchema-instance" xsi:type="dcterms:W3CDTF">2026-06-13T18:05:40Z</dcterms:modified>
</cp:coreProperties>
</file>