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品打分表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海外售价参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¥#,##0.00"/>
  </numFmts>
  <fonts count="18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555555"/>
      <sz val="10"/>
    </font>
    <font>
      <name val="Arial"/>
      <b val="1"/>
      <color rgb="001F3A5F"/>
      <sz val="12"/>
    </font>
    <font>
      <name val="Arial"/>
      <color rgb="00000000"/>
      <sz val="10"/>
    </font>
    <font>
      <name val="Arial"/>
      <b val="1"/>
      <color rgb="009A6A00"/>
      <sz val="10"/>
    </font>
    <font>
      <name val="Arial"/>
      <b val="1"/>
      <color rgb="001F3A5F"/>
      <sz val="14"/>
    </font>
    <font>
      <name val="Arial"/>
      <color rgb="00555555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3A5F"/>
      <sz val="9"/>
    </font>
    <font>
      <name val="Arial"/>
      <b val="1"/>
      <color rgb="001F3A5F"/>
      <sz val="11"/>
    </font>
    <font>
      <name val="Arial"/>
      <b val="1"/>
      <color rgb="000000FF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FFFFFF"/>
      <sz val="9"/>
    </font>
    <font>
      <name val="Arial"/>
      <color rgb="000000FF"/>
      <sz val="9"/>
    </font>
    <font>
      <name val="Arial"/>
      <color rgb="009A6A00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6F8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1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2" fontId="12" fillId="4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165" fontId="13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16" fillId="0" borderId="1" applyAlignment="1" pivotButton="0" quotePrefix="0" xfId="0">
      <alignment horizontal="center" vertical="center" wrapText="1"/>
    </xf>
    <xf numFmtId="166" fontId="16" fillId="4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3" fontId="16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2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164" fontId="9" fillId="3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选品表</author>
  </authors>
  <commentList>
    <comment ref="E11" authorId="0" shapeId="0">
      <text>
        <t>现场填：国内进货价(人民币)</t>
      </text>
    </comment>
    <comment ref="I11" authorId="0" shapeId="0">
      <text>
        <t>现场填：最小起订量</t>
      </text>
    </comment>
    <comment ref="J11" authorId="0" shapeId="0">
      <text>
        <t>现场填：单件净重(克)</t>
      </text>
    </comment>
    <comment ref="K11" authorId="0" shapeId="0">
      <text>
        <t>打分1-5：维修店换得多不多</t>
      </text>
    </comment>
    <comment ref="L11" authorId="0" shapeId="0">
      <text>
        <t>打分1-5：适配机型多不多</t>
      </text>
    </comment>
    <comment ref="M11" authorId="0" shapeId="0">
      <text>
        <t>打分1-5：5=蓝海少竞争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2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1" customWidth="1" min="3" max="3"/>
    <col width="12" customWidth="1" min="4" max="4"/>
    <col width="13" customWidth="1" min="5" max="5"/>
    <col width="10" customWidth="1" min="6" max="6"/>
    <col width="10" customWidth="1" min="7" max="7"/>
    <col width="9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7" customWidth="1" min="17" max="17"/>
    <col width="14" customWidth="1" min="18" max="18"/>
  </cols>
  <sheetData>
    <row r="2">
      <c r="B2" s="1" t="inlineStr">
        <is>
          <t>假设（蓝字可改）</t>
        </is>
      </c>
    </row>
    <row r="3">
      <c r="B3" s="2" t="inlineStr">
        <is>
          <t>汇率 ¥/$</t>
        </is>
      </c>
      <c r="C3" s="3" t="n">
        <v>7.2</v>
      </c>
    </row>
    <row r="4">
      <c r="B4" s="2" t="inlineStr">
        <is>
          <t>权重·更换频率</t>
        </is>
      </c>
      <c r="C4" s="4" t="n">
        <v>0.35</v>
      </c>
    </row>
    <row r="5">
      <c r="B5" s="2" t="inlineStr">
        <is>
          <t>权重·通用性</t>
        </is>
      </c>
      <c r="C5" s="4" t="n">
        <v>0.25</v>
      </c>
    </row>
    <row r="6">
      <c r="B6" s="2" t="inlineStr">
        <is>
          <t>权重·价格竞争力</t>
        </is>
      </c>
      <c r="C6" s="4" t="n">
        <v>0.2</v>
      </c>
    </row>
    <row r="7">
      <c r="B7" s="2" t="inlineStr">
        <is>
          <t>权重·物流友好</t>
        </is>
      </c>
      <c r="C7" s="4" t="n">
        <v>0.1</v>
      </c>
    </row>
    <row r="8">
      <c r="B8" s="2" t="inlineStr">
        <is>
          <t>权重·竞争蓝海</t>
        </is>
      </c>
      <c r="C8" s="4" t="n">
        <v>0.1</v>
      </c>
    </row>
    <row r="9">
      <c r="B9" s="5" t="inlineStr">
        <is>
          <t>权重合计</t>
        </is>
      </c>
      <c r="C9" s="6">
        <f>SUM(C4:C8)</f>
        <v/>
      </c>
      <c r="D9" s="7">
        <f>IF(ROUND(C9,4)=1,"OK","权重之和必须=100%")</f>
        <v/>
      </c>
    </row>
    <row r="11" ht="34" customHeight="1">
      <c r="A11" s="8" t="inlineStr">
        <is>
          <t>#</t>
        </is>
      </c>
      <c r="B11" s="8" t="inlineStr">
        <is>
          <t>产品(候选件)</t>
        </is>
      </c>
      <c r="C11" s="8" t="inlineStr">
        <is>
          <t>品类</t>
        </is>
      </c>
      <c r="D11" s="8" t="inlineStr">
        <is>
          <t>海外参考价 $</t>
        </is>
      </c>
      <c r="E11" s="8" t="inlineStr">
        <is>
          <t>国内进货价 ¥</t>
        </is>
      </c>
      <c r="F11" s="8" t="inlineStr">
        <is>
          <t>进货价 $</t>
        </is>
      </c>
      <c r="G11" s="8" t="inlineStr">
        <is>
          <t>毛利额 $</t>
        </is>
      </c>
      <c r="H11" s="8" t="inlineStr">
        <is>
          <t>毛利率</t>
        </is>
      </c>
      <c r="I11" s="8" t="inlineStr">
        <is>
          <t>起订量 MOQ</t>
        </is>
      </c>
      <c r="J11" s="8" t="inlineStr">
        <is>
          <t>单件重量 g</t>
        </is>
      </c>
      <c r="K11" s="8" t="inlineStr">
        <is>
          <t>更换频率 1-5</t>
        </is>
      </c>
      <c r="L11" s="8" t="inlineStr">
        <is>
          <t>通用性 1-5</t>
        </is>
      </c>
      <c r="M11" s="8" t="inlineStr">
        <is>
          <t>竞争蓝海 1-5</t>
        </is>
      </c>
      <c r="N11" s="8" t="inlineStr">
        <is>
          <t>价格力(自动)</t>
        </is>
      </c>
      <c r="O11" s="8" t="inlineStr">
        <is>
          <t>物流力(自动)</t>
        </is>
      </c>
      <c r="P11" s="8" t="inlineStr">
        <is>
          <t>综合评分</t>
        </is>
      </c>
      <c r="Q11" s="8" t="inlineStr">
        <is>
          <t>排名</t>
        </is>
      </c>
      <c r="R11" s="8" t="inlineStr">
        <is>
          <t>建议</t>
        </is>
      </c>
    </row>
    <row r="12">
      <c r="A12" s="9" t="n">
        <v>1</v>
      </c>
      <c r="B12" s="10" t="inlineStr">
        <is>
          <t>化油器 Carburetor</t>
        </is>
      </c>
      <c r="C12" s="9" t="inlineStr">
        <is>
          <t>燃油系统</t>
        </is>
      </c>
      <c r="D12" s="11" t="n">
        <v>14</v>
      </c>
      <c r="E12" s="12" t="n"/>
      <c r="F12" s="13">
        <f>IF(E12="","",E12/$C$3)</f>
        <v/>
      </c>
      <c r="G12" s="13">
        <f>IF(F12="","",D12-F12)</f>
        <v/>
      </c>
      <c r="H12" s="14">
        <f>IF(OR(F12="",D12=0),"",G12/D12)</f>
        <v/>
      </c>
      <c r="I12" s="15" t="n"/>
      <c r="J12" s="15" t="n">
        <v>350</v>
      </c>
      <c r="K12" s="16" t="n">
        <v>5</v>
      </c>
      <c r="L12" s="16" t="n">
        <v>5</v>
      </c>
      <c r="M12" s="16" t="n">
        <v>3</v>
      </c>
      <c r="N12" s="9">
        <f>IF(H12="","",IF(H12&gt;=0.65,5,IF(H12&gt;=0.5,4,IF(H12&gt;=0.35,3,IF(H12&gt;=0.2,2,1)))))</f>
        <v/>
      </c>
      <c r="O12" s="9">
        <f>IF(J12="","",IF(J12&lt;=100,5,IF(J12&lt;=300,4,IF(J12&lt;=600,3,IF(J12&lt;=1000,2,1)))))</f>
        <v/>
      </c>
      <c r="P12" s="17">
        <f>IF(OR(K12="",L12="",M12="",N12="",O12=""),"",K12*$C$4+L12*$C$5+N12*$C$6+O12*$C$7+M12*$C$8)</f>
        <v/>
      </c>
      <c r="Q12" s="18">
        <f>IF(P12="","",RANK(P12,$P$12:$P$26))</f>
        <v/>
      </c>
      <c r="R12" s="18">
        <f>IF(Q12="","",IF(Q12&lt;=10,"✅ 入选试销","观望"))</f>
        <v/>
      </c>
    </row>
    <row r="13">
      <c r="A13" s="9" t="n">
        <v>2</v>
      </c>
      <c r="B13" s="10" t="inlineStr">
        <is>
          <t>化油器修理包 Carb kit</t>
        </is>
      </c>
      <c r="C13" s="9" t="inlineStr">
        <is>
          <t>燃油系统</t>
        </is>
      </c>
      <c r="D13" s="11" t="n">
        <v>9</v>
      </c>
      <c r="E13" s="12" t="n"/>
      <c r="F13" s="13">
        <f>IF(E13="","",E13/$C$3)</f>
        <v/>
      </c>
      <c r="G13" s="13">
        <f>IF(F13="","",D13-F13)</f>
        <v/>
      </c>
      <c r="H13" s="14">
        <f>IF(OR(F13="",D13=0),"",G13/D13)</f>
        <v/>
      </c>
      <c r="I13" s="15" t="n"/>
      <c r="J13" s="15" t="n">
        <v>50</v>
      </c>
      <c r="K13" s="16" t="n">
        <v>5</v>
      </c>
      <c r="L13" s="16" t="n">
        <v>4</v>
      </c>
      <c r="M13" s="16" t="n">
        <v>3</v>
      </c>
      <c r="N13" s="9">
        <f>IF(H13="","",IF(H13&gt;=0.65,5,IF(H13&gt;=0.5,4,IF(H13&gt;=0.35,3,IF(H13&gt;=0.2,2,1)))))</f>
        <v/>
      </c>
      <c r="O13" s="9">
        <f>IF(J13="","",IF(J13&lt;=100,5,IF(J13&lt;=300,4,IF(J13&lt;=600,3,IF(J13&lt;=1000,2,1)))))</f>
        <v/>
      </c>
      <c r="P13" s="17">
        <f>IF(OR(K13="",L13="",M13="",N13="",O13=""),"",K13*$C$4+L13*$C$5+N13*$C$6+O13*$C$7+M13*$C$8)</f>
        <v/>
      </c>
      <c r="Q13" s="18">
        <f>IF(P13="","",RANK(P13,$P$12:$P$26))</f>
        <v/>
      </c>
      <c r="R13" s="18">
        <f>IF(Q13="","",IF(Q13&lt;=10,"✅ 入选试销","观望"))</f>
        <v/>
      </c>
    </row>
    <row r="14">
      <c r="A14" s="9" t="n">
        <v>3</v>
      </c>
      <c r="B14" s="10" t="inlineStr">
        <is>
          <t>手拉启动器总成 Recoil starter</t>
        </is>
      </c>
      <c r="C14" s="9" t="inlineStr">
        <is>
          <t>启动系统</t>
        </is>
      </c>
      <c r="D14" s="11" t="n">
        <v>22</v>
      </c>
      <c r="E14" s="12" t="n"/>
      <c r="F14" s="13">
        <f>IF(E14="","",E14/$C$3)</f>
        <v/>
      </c>
      <c r="G14" s="13">
        <f>IF(F14="","",D14-F14)</f>
        <v/>
      </c>
      <c r="H14" s="14">
        <f>IF(OR(F14="",D14=0),"",G14/D14)</f>
        <v/>
      </c>
      <c r="I14" s="15" t="n"/>
      <c r="J14" s="15" t="n">
        <v>500</v>
      </c>
      <c r="K14" s="16" t="n">
        <v>4</v>
      </c>
      <c r="L14" s="16" t="n">
        <v>5</v>
      </c>
      <c r="M14" s="16" t="n">
        <v>3</v>
      </c>
      <c r="N14" s="9">
        <f>IF(H14="","",IF(H14&gt;=0.65,5,IF(H14&gt;=0.5,4,IF(H14&gt;=0.35,3,IF(H14&gt;=0.2,2,1)))))</f>
        <v/>
      </c>
      <c r="O14" s="9">
        <f>IF(J14="","",IF(J14&lt;=100,5,IF(J14&lt;=300,4,IF(J14&lt;=600,3,IF(J14&lt;=1000,2,1)))))</f>
        <v/>
      </c>
      <c r="P14" s="17">
        <f>IF(OR(K14="",L14="",M14="",N14="",O14=""),"",K14*$C$4+L14*$C$5+N14*$C$6+O14*$C$7+M14*$C$8)</f>
        <v/>
      </c>
      <c r="Q14" s="18">
        <f>IF(P14="","",RANK(P14,$P$12:$P$26))</f>
        <v/>
      </c>
      <c r="R14" s="18">
        <f>IF(Q14="","",IF(Q14&lt;=10,"✅ 入选试销","观望"))</f>
        <v/>
      </c>
    </row>
    <row r="15">
      <c r="A15" s="9" t="n">
        <v>4</v>
      </c>
      <c r="B15" s="10" t="inlineStr">
        <is>
          <t>点火线圈 Ignition coil</t>
        </is>
      </c>
      <c r="C15" s="9" t="inlineStr">
        <is>
          <t>点火系统</t>
        </is>
      </c>
      <c r="D15" s="11" t="n">
        <v>16</v>
      </c>
      <c r="E15" s="12" t="n"/>
      <c r="F15" s="13">
        <f>IF(E15="","",E15/$C$3)</f>
        <v/>
      </c>
      <c r="G15" s="13">
        <f>IF(F15="","",D15-F15)</f>
        <v/>
      </c>
      <c r="H15" s="14">
        <f>IF(OR(F15="",D15=0),"",G15/D15)</f>
        <v/>
      </c>
      <c r="I15" s="15" t="n"/>
      <c r="J15" s="15" t="n">
        <v>200</v>
      </c>
      <c r="K15" s="16" t="n">
        <v>4</v>
      </c>
      <c r="L15" s="16" t="n">
        <v>5</v>
      </c>
      <c r="M15" s="16" t="n">
        <v>3</v>
      </c>
      <c r="N15" s="9">
        <f>IF(H15="","",IF(H15&gt;=0.65,5,IF(H15&gt;=0.5,4,IF(H15&gt;=0.35,3,IF(H15&gt;=0.2,2,1)))))</f>
        <v/>
      </c>
      <c r="O15" s="9">
        <f>IF(J15="","",IF(J15&lt;=100,5,IF(J15&lt;=300,4,IF(J15&lt;=600,3,IF(J15&lt;=1000,2,1)))))</f>
        <v/>
      </c>
      <c r="P15" s="17">
        <f>IF(OR(K15="",L15="",M15="",N15="",O15=""),"",K15*$C$4+L15*$C$5+N15*$C$6+O15*$C$7+M15*$C$8)</f>
        <v/>
      </c>
      <c r="Q15" s="18">
        <f>IF(P15="","",RANK(P15,$P$12:$P$26))</f>
        <v/>
      </c>
      <c r="R15" s="18">
        <f>IF(Q15="","",IF(Q15&lt;=10,"✅ 入选试销","观望"))</f>
        <v/>
      </c>
    </row>
    <row r="16">
      <c r="A16" s="9" t="n">
        <v>5</v>
      </c>
      <c r="B16" s="10" t="inlineStr">
        <is>
          <t>水泵机械密封 Pump seal</t>
        </is>
      </c>
      <c r="C16" s="9" t="inlineStr">
        <is>
          <t>水泵</t>
        </is>
      </c>
      <c r="D16" s="11" t="n">
        <v>9</v>
      </c>
      <c r="E16" s="12" t="n"/>
      <c r="F16" s="13">
        <f>IF(E16="","",E16/$C$3)</f>
        <v/>
      </c>
      <c r="G16" s="13">
        <f>IF(F16="","",D16-F16)</f>
        <v/>
      </c>
      <c r="H16" s="14">
        <f>IF(OR(F16="",D16=0),"",G16/D16)</f>
        <v/>
      </c>
      <c r="I16" s="15" t="n"/>
      <c r="J16" s="15" t="n">
        <v>60</v>
      </c>
      <c r="K16" s="16" t="n">
        <v>5</v>
      </c>
      <c r="L16" s="16" t="n">
        <v>4</v>
      </c>
      <c r="M16" s="16" t="n">
        <v>3</v>
      </c>
      <c r="N16" s="9">
        <f>IF(H16="","",IF(H16&gt;=0.65,5,IF(H16&gt;=0.5,4,IF(H16&gt;=0.35,3,IF(H16&gt;=0.2,2,1)))))</f>
        <v/>
      </c>
      <c r="O16" s="9">
        <f>IF(J16="","",IF(J16&lt;=100,5,IF(J16&lt;=300,4,IF(J16&lt;=600,3,IF(J16&lt;=1000,2,1)))))</f>
        <v/>
      </c>
      <c r="P16" s="17">
        <f>IF(OR(K16="",L16="",M16="",N16="",O16=""),"",K16*$C$4+L16*$C$5+N16*$C$6+O16*$C$7+M16*$C$8)</f>
        <v/>
      </c>
      <c r="Q16" s="18">
        <f>IF(P16="","",RANK(P16,$P$12:$P$26))</f>
        <v/>
      </c>
      <c r="R16" s="18">
        <f>IF(Q16="","",IF(Q16&lt;=10,"✅ 入选试销","观望"))</f>
        <v/>
      </c>
    </row>
    <row r="17">
      <c r="A17" s="9" t="n">
        <v>6</v>
      </c>
      <c r="B17" s="10" t="inlineStr">
        <is>
          <t>水泵全套胶圈包 Pump seal kit</t>
        </is>
      </c>
      <c r="C17" s="9" t="inlineStr">
        <is>
          <t>水泵</t>
        </is>
      </c>
      <c r="D17" s="11" t="n">
        <v>15</v>
      </c>
      <c r="E17" s="12" t="n"/>
      <c r="F17" s="13">
        <f>IF(E17="","",E17/$C$3)</f>
        <v/>
      </c>
      <c r="G17" s="13">
        <f>IF(F17="","",D17-F17)</f>
        <v/>
      </c>
      <c r="H17" s="14">
        <f>IF(OR(F17="",D17=0),"",G17/D17)</f>
        <v/>
      </c>
      <c r="I17" s="15" t="n"/>
      <c r="J17" s="15" t="n">
        <v>150</v>
      </c>
      <c r="K17" s="16" t="n">
        <v>4</v>
      </c>
      <c r="L17" s="16" t="n">
        <v>3</v>
      </c>
      <c r="M17" s="16" t="n">
        <v>3</v>
      </c>
      <c r="N17" s="9">
        <f>IF(H17="","",IF(H17&gt;=0.65,5,IF(H17&gt;=0.5,4,IF(H17&gt;=0.35,3,IF(H17&gt;=0.2,2,1)))))</f>
        <v/>
      </c>
      <c r="O17" s="9">
        <f>IF(J17="","",IF(J17&lt;=100,5,IF(J17&lt;=300,4,IF(J17&lt;=600,3,IF(J17&lt;=1000,2,1)))))</f>
        <v/>
      </c>
      <c r="P17" s="17">
        <f>IF(OR(K17="",L17="",M17="",N17="",O17=""),"",K17*$C$4+L17*$C$5+N17*$C$6+O17*$C$7+M17*$C$8)</f>
        <v/>
      </c>
      <c r="Q17" s="18">
        <f>IF(P17="","",RANK(P17,$P$12:$P$26))</f>
        <v/>
      </c>
      <c r="R17" s="18">
        <f>IF(Q17="","",IF(Q17&lt;=10,"✅ 入选试销","观望"))</f>
        <v/>
      </c>
    </row>
    <row r="18">
      <c r="A18" s="9" t="n">
        <v>7</v>
      </c>
      <c r="B18" s="10" t="inlineStr">
        <is>
          <t>发电机 AVR</t>
        </is>
      </c>
      <c r="C18" s="9" t="inlineStr">
        <is>
          <t>发电机</t>
        </is>
      </c>
      <c r="D18" s="11" t="n">
        <v>12</v>
      </c>
      <c r="E18" s="12" t="n"/>
      <c r="F18" s="13">
        <f>IF(E18="","",E18/$C$3)</f>
        <v/>
      </c>
      <c r="G18" s="13">
        <f>IF(F18="","",D18-F18)</f>
        <v/>
      </c>
      <c r="H18" s="14">
        <f>IF(OR(F18="",D18=0),"",G18/D18)</f>
        <v/>
      </c>
      <c r="I18" s="15" t="n"/>
      <c r="J18" s="15" t="n">
        <v>120</v>
      </c>
      <c r="K18" s="16" t="n">
        <v>3</v>
      </c>
      <c r="L18" s="16" t="n">
        <v>3</v>
      </c>
      <c r="M18" s="16" t="n">
        <v>3</v>
      </c>
      <c r="N18" s="9">
        <f>IF(H18="","",IF(H18&gt;=0.65,5,IF(H18&gt;=0.5,4,IF(H18&gt;=0.35,3,IF(H18&gt;=0.2,2,1)))))</f>
        <v/>
      </c>
      <c r="O18" s="9">
        <f>IF(J18="","",IF(J18&lt;=100,5,IF(J18&lt;=300,4,IF(J18&lt;=600,3,IF(J18&lt;=1000,2,1)))))</f>
        <v/>
      </c>
      <c r="P18" s="17">
        <f>IF(OR(K18="",L18="",M18="",N18="",O18=""),"",K18*$C$4+L18*$C$5+N18*$C$6+O18*$C$7+M18*$C$8)</f>
        <v/>
      </c>
      <c r="Q18" s="18">
        <f>IF(P18="","",RANK(P18,$P$12:$P$26))</f>
        <v/>
      </c>
      <c r="R18" s="18">
        <f>IF(Q18="","",IF(Q18&lt;=10,"✅ 入选试销","观望"))</f>
        <v/>
      </c>
    </row>
    <row r="19">
      <c r="A19" s="9" t="n">
        <v>8</v>
      </c>
      <c r="B19" s="10" t="inlineStr">
        <is>
          <t>活塞环+大修垫片包 Rebuild kit</t>
        </is>
      </c>
      <c r="C19" s="9" t="inlineStr">
        <is>
          <t>大修</t>
        </is>
      </c>
      <c r="D19" s="11" t="n">
        <v>19</v>
      </c>
      <c r="E19" s="12" t="n"/>
      <c r="F19" s="13">
        <f>IF(E19="","",E19/$C$3)</f>
        <v/>
      </c>
      <c r="G19" s="13">
        <f>IF(F19="","",D19-F19)</f>
        <v/>
      </c>
      <c r="H19" s="14">
        <f>IF(OR(F19="",D19=0),"",G19/D19)</f>
        <v/>
      </c>
      <c r="I19" s="15" t="n"/>
      <c r="J19" s="15" t="n">
        <v>400</v>
      </c>
      <c r="K19" s="16" t="n">
        <v>3</v>
      </c>
      <c r="L19" s="16" t="n">
        <v>4</v>
      </c>
      <c r="M19" s="16" t="n">
        <v>3</v>
      </c>
      <c r="N19" s="9">
        <f>IF(H19="","",IF(H19&gt;=0.65,5,IF(H19&gt;=0.5,4,IF(H19&gt;=0.35,3,IF(H19&gt;=0.2,2,1)))))</f>
        <v/>
      </c>
      <c r="O19" s="9">
        <f>IF(J19="","",IF(J19&lt;=100,5,IF(J19&lt;=300,4,IF(J19&lt;=600,3,IF(J19&lt;=1000,2,1)))))</f>
        <v/>
      </c>
      <c r="P19" s="17">
        <f>IF(OR(K19="",L19="",M19="",N19="",O19=""),"",K19*$C$4+L19*$C$5+N19*$C$6+O19*$C$7+M19*$C$8)</f>
        <v/>
      </c>
      <c r="Q19" s="18">
        <f>IF(P19="","",RANK(P19,$P$12:$P$26))</f>
        <v/>
      </c>
      <c r="R19" s="18">
        <f>IF(Q19="","",IF(Q19&lt;=10,"✅ 入选试销","观望"))</f>
        <v/>
      </c>
    </row>
    <row r="20">
      <c r="A20" s="9" t="n">
        <v>9</v>
      </c>
      <c r="B20" s="10" t="inlineStr">
        <is>
          <t>全套垫片 Gasket set</t>
        </is>
      </c>
      <c r="C20" s="9" t="inlineStr">
        <is>
          <t>发动机</t>
        </is>
      </c>
      <c r="D20" s="11" t="n">
        <v>13</v>
      </c>
      <c r="E20" s="12" t="n"/>
      <c r="F20" s="13">
        <f>IF(E20="","",E20/$C$3)</f>
        <v/>
      </c>
      <c r="G20" s="13">
        <f>IF(F20="","",D20-F20)</f>
        <v/>
      </c>
      <c r="H20" s="14">
        <f>IF(OR(F20="",D20=0),"",G20/D20)</f>
        <v/>
      </c>
      <c r="I20" s="15" t="n"/>
      <c r="J20" s="15" t="n">
        <v>80</v>
      </c>
      <c r="K20" s="16" t="n">
        <v>4</v>
      </c>
      <c r="L20" s="16" t="n">
        <v>4</v>
      </c>
      <c r="M20" s="16" t="n">
        <v>3</v>
      </c>
      <c r="N20" s="9">
        <f>IF(H20="","",IF(H20&gt;=0.65,5,IF(H20&gt;=0.5,4,IF(H20&gt;=0.35,3,IF(H20&gt;=0.2,2,1)))))</f>
        <v/>
      </c>
      <c r="O20" s="9">
        <f>IF(J20="","",IF(J20&lt;=100,5,IF(J20&lt;=300,4,IF(J20&lt;=600,3,IF(J20&lt;=1000,2,1)))))</f>
        <v/>
      </c>
      <c r="P20" s="17">
        <f>IF(OR(K20="",L20="",M20="",N20="",O20=""),"",K20*$C$4+L20*$C$5+N20*$C$6+O20*$C$7+M20*$C$8)</f>
        <v/>
      </c>
      <c r="Q20" s="18">
        <f>IF(P20="","",RANK(P20,$P$12:$P$26))</f>
        <v/>
      </c>
      <c r="R20" s="18">
        <f>IF(Q20="","",IF(Q20&lt;=10,"✅ 入选试销","观望"))</f>
        <v/>
      </c>
    </row>
    <row r="21">
      <c r="A21" s="9" t="n">
        <v>10</v>
      </c>
      <c r="B21" s="10" t="inlineStr">
        <is>
          <t>火花塞 Spark plug</t>
        </is>
      </c>
      <c r="C21" s="9" t="inlineStr">
        <is>
          <t>点火系统</t>
        </is>
      </c>
      <c r="D21" s="11" t="n">
        <v>5</v>
      </c>
      <c r="E21" s="12" t="n"/>
      <c r="F21" s="13">
        <f>IF(E21="","",E21/$C$3)</f>
        <v/>
      </c>
      <c r="G21" s="13">
        <f>IF(F21="","",D21-F21)</f>
        <v/>
      </c>
      <c r="H21" s="14">
        <f>IF(OR(F21="",D21=0),"",G21/D21)</f>
        <v/>
      </c>
      <c r="I21" s="15" t="n"/>
      <c r="J21" s="15" t="n">
        <v>50</v>
      </c>
      <c r="K21" s="16" t="n">
        <v>5</v>
      </c>
      <c r="L21" s="16" t="n">
        <v>5</v>
      </c>
      <c r="M21" s="16" t="n">
        <v>3</v>
      </c>
      <c r="N21" s="9">
        <f>IF(H21="","",IF(H21&gt;=0.65,5,IF(H21&gt;=0.5,4,IF(H21&gt;=0.35,3,IF(H21&gt;=0.2,2,1)))))</f>
        <v/>
      </c>
      <c r="O21" s="9">
        <f>IF(J21="","",IF(J21&lt;=100,5,IF(J21&lt;=300,4,IF(J21&lt;=600,3,IF(J21&lt;=1000,2,1)))))</f>
        <v/>
      </c>
      <c r="P21" s="17">
        <f>IF(OR(K21="",L21="",M21="",N21="",O21=""),"",K21*$C$4+L21*$C$5+N21*$C$6+O21*$C$7+M21*$C$8)</f>
        <v/>
      </c>
      <c r="Q21" s="18">
        <f>IF(P21="","",RANK(P21,$P$12:$P$26))</f>
        <v/>
      </c>
      <c r="R21" s="18">
        <f>IF(Q21="","",IF(Q21&lt;=10,"✅ 入选试销","观望"))</f>
        <v/>
      </c>
    </row>
    <row r="22">
      <c r="A22" s="9" t="n">
        <v>11</v>
      </c>
      <c r="B22" s="10" t="inlineStr">
        <is>
          <t>空气滤芯 Air filter</t>
        </is>
      </c>
      <c r="C22" s="9" t="inlineStr">
        <is>
          <t>进气</t>
        </is>
      </c>
      <c r="D22" s="11" t="n">
        <v>6</v>
      </c>
      <c r="E22" s="12" t="n"/>
      <c r="F22" s="13">
        <f>IF(E22="","",E22/$C$3)</f>
        <v/>
      </c>
      <c r="G22" s="13">
        <f>IF(F22="","",D22-F22)</f>
        <v/>
      </c>
      <c r="H22" s="14">
        <f>IF(OR(F22="",D22=0),"",G22/D22)</f>
        <v/>
      </c>
      <c r="I22" s="15" t="n"/>
      <c r="J22" s="15" t="n">
        <v>40</v>
      </c>
      <c r="K22" s="16" t="n">
        <v>5</v>
      </c>
      <c r="L22" s="16" t="n">
        <v>5</v>
      </c>
      <c r="M22" s="16" t="n">
        <v>3</v>
      </c>
      <c r="N22" s="9">
        <f>IF(H22="","",IF(H22&gt;=0.65,5,IF(H22&gt;=0.5,4,IF(H22&gt;=0.35,3,IF(H22&gt;=0.2,2,1)))))</f>
        <v/>
      </c>
      <c r="O22" s="9">
        <f>IF(J22="","",IF(J22&lt;=100,5,IF(J22&lt;=300,4,IF(J22&lt;=600,3,IF(J22&lt;=1000,2,1)))))</f>
        <v/>
      </c>
      <c r="P22" s="17">
        <f>IF(OR(K22="",L22="",M22="",N22="",O22=""),"",K22*$C$4+L22*$C$5+N22*$C$6+O22*$C$7+M22*$C$8)</f>
        <v/>
      </c>
      <c r="Q22" s="18">
        <f>IF(P22="","",RANK(P22,$P$12:$P$26))</f>
        <v/>
      </c>
      <c r="R22" s="18">
        <f>IF(Q22="","",IF(Q22&lt;=10,"✅ 入选试销","观望"))</f>
        <v/>
      </c>
    </row>
    <row r="23">
      <c r="A23" s="9" t="n">
        <v>12</v>
      </c>
      <c r="B23" s="10" t="inlineStr">
        <is>
          <t>燃油开关/油杯 Fuel petcock</t>
        </is>
      </c>
      <c r="C23" s="9" t="inlineStr">
        <is>
          <t>燃油系统</t>
        </is>
      </c>
      <c r="D23" s="11" t="n">
        <v>7</v>
      </c>
      <c r="E23" s="12" t="n"/>
      <c r="F23" s="13">
        <f>IF(E23="","",E23/$C$3)</f>
        <v/>
      </c>
      <c r="G23" s="13">
        <f>IF(F23="","",D23-F23)</f>
        <v/>
      </c>
      <c r="H23" s="14">
        <f>IF(OR(F23="",D23=0),"",G23/D23)</f>
        <v/>
      </c>
      <c r="I23" s="15" t="n"/>
      <c r="J23" s="15" t="n">
        <v>60</v>
      </c>
      <c r="K23" s="16" t="n">
        <v>4</v>
      </c>
      <c r="L23" s="16" t="n">
        <v>4</v>
      </c>
      <c r="M23" s="16" t="n">
        <v>3</v>
      </c>
      <c r="N23" s="9">
        <f>IF(H23="","",IF(H23&gt;=0.65,5,IF(H23&gt;=0.5,4,IF(H23&gt;=0.35,3,IF(H23&gt;=0.2,2,1)))))</f>
        <v/>
      </c>
      <c r="O23" s="9">
        <f>IF(J23="","",IF(J23&lt;=100,5,IF(J23&lt;=300,4,IF(J23&lt;=600,3,IF(J23&lt;=1000,2,1)))))</f>
        <v/>
      </c>
      <c r="P23" s="17">
        <f>IF(OR(K23="",L23="",M23="",N23="",O23=""),"",K23*$C$4+L23*$C$5+N23*$C$6+O23*$C$7+M23*$C$8)</f>
        <v/>
      </c>
      <c r="Q23" s="18">
        <f>IF(P23="","",RANK(P23,$P$12:$P$26))</f>
        <v/>
      </c>
      <c r="R23" s="18">
        <f>IF(Q23="","",IF(Q23&lt;=10,"✅ 入选试销","观望"))</f>
        <v/>
      </c>
    </row>
    <row r="24">
      <c r="A24" s="9" t="n">
        <v>13</v>
      </c>
      <c r="B24" s="10" t="inlineStr">
        <is>
          <t>启动绳+手柄 Pull rope</t>
        </is>
      </c>
      <c r="C24" s="9" t="inlineStr">
        <is>
          <t>启动系统</t>
        </is>
      </c>
      <c r="D24" s="11" t="n">
        <v>6</v>
      </c>
      <c r="E24" s="12" t="n"/>
      <c r="F24" s="13">
        <f>IF(E24="","",E24/$C$3)</f>
        <v/>
      </c>
      <c r="G24" s="13">
        <f>IF(F24="","",D24-F24)</f>
        <v/>
      </c>
      <c r="H24" s="14">
        <f>IF(OR(F24="",D24=0),"",G24/D24)</f>
        <v/>
      </c>
      <c r="I24" s="15" t="n"/>
      <c r="J24" s="15" t="n">
        <v>50</v>
      </c>
      <c r="K24" s="16" t="n">
        <v>4</v>
      </c>
      <c r="L24" s="16" t="n">
        <v>5</v>
      </c>
      <c r="M24" s="16" t="n">
        <v>3</v>
      </c>
      <c r="N24" s="9">
        <f>IF(H24="","",IF(H24&gt;=0.65,5,IF(H24&gt;=0.5,4,IF(H24&gt;=0.35,3,IF(H24&gt;=0.2,2,1)))))</f>
        <v/>
      </c>
      <c r="O24" s="9">
        <f>IF(J24="","",IF(J24&lt;=100,5,IF(J24&lt;=300,4,IF(J24&lt;=600,3,IF(J24&lt;=1000,2,1)))))</f>
        <v/>
      </c>
      <c r="P24" s="17">
        <f>IF(OR(K24="",L24="",M24="",N24="",O24=""),"",K24*$C$4+L24*$C$5+N24*$C$6+O24*$C$7+M24*$C$8)</f>
        <v/>
      </c>
      <c r="Q24" s="18">
        <f>IF(P24="","",RANK(P24,$P$12:$P$26))</f>
        <v/>
      </c>
      <c r="R24" s="18">
        <f>IF(Q24="","",IF(Q24&lt;=10,"✅ 入选试销","观望"))</f>
        <v/>
      </c>
    </row>
    <row r="25">
      <c r="A25" s="9" t="n">
        <v>14</v>
      </c>
      <c r="B25" s="10" t="inlineStr">
        <is>
          <t>发电机碳刷 Carbon brush</t>
        </is>
      </c>
      <c r="C25" s="9" t="inlineStr">
        <is>
          <t>发电机</t>
        </is>
      </c>
      <c r="D25" s="11" t="n">
        <v>7</v>
      </c>
      <c r="E25" s="12" t="n"/>
      <c r="F25" s="13">
        <f>IF(E25="","",E25/$C$3)</f>
        <v/>
      </c>
      <c r="G25" s="13">
        <f>IF(F25="","",D25-F25)</f>
        <v/>
      </c>
      <c r="H25" s="14">
        <f>IF(OR(F25="",D25=0),"",G25/D25)</f>
        <v/>
      </c>
      <c r="I25" s="15" t="n"/>
      <c r="J25" s="15" t="n">
        <v>30</v>
      </c>
      <c r="K25" s="16" t="n">
        <v>3</v>
      </c>
      <c r="L25" s="16" t="n">
        <v>3</v>
      </c>
      <c r="M25" s="16" t="n">
        <v>3</v>
      </c>
      <c r="N25" s="9">
        <f>IF(H25="","",IF(H25&gt;=0.65,5,IF(H25&gt;=0.5,4,IF(H25&gt;=0.35,3,IF(H25&gt;=0.2,2,1)))))</f>
        <v/>
      </c>
      <c r="O25" s="9">
        <f>IF(J25="","",IF(J25&lt;=100,5,IF(J25&lt;=300,4,IF(J25&lt;=600,3,IF(J25&lt;=1000,2,1)))))</f>
        <v/>
      </c>
      <c r="P25" s="17">
        <f>IF(OR(K25="",L25="",M25="",N25="",O25=""),"",K25*$C$4+L25*$C$5+N25*$C$6+O25*$C$7+M25*$C$8)</f>
        <v/>
      </c>
      <c r="Q25" s="18">
        <f>IF(P25="","",RANK(P25,$P$12:$P$26))</f>
        <v/>
      </c>
      <c r="R25" s="18">
        <f>IF(Q25="","",IF(Q25&lt;=10,"✅ 入选试销","观望"))</f>
        <v/>
      </c>
    </row>
    <row r="26">
      <c r="A26" s="9" t="n">
        <v>15</v>
      </c>
      <c r="B26" s="10" t="inlineStr">
        <is>
          <t>调试套装 Tune-up combo</t>
        </is>
      </c>
      <c r="C26" s="9" t="inlineStr">
        <is>
          <t>组合套件</t>
        </is>
      </c>
      <c r="D26" s="11" t="n">
        <v>19</v>
      </c>
      <c r="E26" s="12" t="n"/>
      <c r="F26" s="13">
        <f>IF(E26="","",E26/$C$3)</f>
        <v/>
      </c>
      <c r="G26" s="13">
        <f>IF(F26="","",D26-F26)</f>
        <v/>
      </c>
      <c r="H26" s="14">
        <f>IF(OR(F26="",D26=0),"",G26/D26)</f>
        <v/>
      </c>
      <c r="I26" s="15" t="n"/>
      <c r="J26" s="15" t="n">
        <v>450</v>
      </c>
      <c r="K26" s="16" t="n">
        <v>4</v>
      </c>
      <c r="L26" s="16" t="n">
        <v>4</v>
      </c>
      <c r="M26" s="16" t="n">
        <v>3</v>
      </c>
      <c r="N26" s="9">
        <f>IF(H26="","",IF(H26&gt;=0.65,5,IF(H26&gt;=0.5,4,IF(H26&gt;=0.35,3,IF(H26&gt;=0.2,2,1)))))</f>
        <v/>
      </c>
      <c r="O26" s="9">
        <f>IF(J26="","",IF(J26&lt;=100,5,IF(J26&lt;=300,4,IF(J26&lt;=600,3,IF(J26&lt;=1000,2,1)))))</f>
        <v/>
      </c>
      <c r="P26" s="17">
        <f>IF(OR(K26="",L26="",M26="",N26="",O26=""),"",K26*$C$4+L26*$C$5+N26*$C$6+O26*$C$7+M26*$C$8)</f>
        <v/>
      </c>
      <c r="Q26" s="18">
        <f>IF(P26="","",RANK(P26,$P$12:$P$26))</f>
        <v/>
      </c>
      <c r="R26" s="18">
        <f>IF(Q26="","",IF(Q26&lt;=10,"✅ 入选试销","观望"))</f>
        <v/>
      </c>
    </row>
    <row r="28">
      <c r="B28" s="19" t="inlineStr">
        <is>
          <t>提示：黄色列现场填(国内进货价/MOQ/重量/三项评分)；进货价、毛利、评分、排名、建议自动算。排名前10=建议上架试销。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20" t="inlineStr">
        <is>
          <t>汽配独立站 · 选品打分表</t>
        </is>
      </c>
    </row>
    <row r="3">
      <c r="B3" s="21" t="inlineStr">
        <is>
          <t>目标：高频刚需走量 —— 优先选维修店天天要换、适配机型多、海外有售价空间的易损件</t>
        </is>
      </c>
    </row>
    <row r="5">
      <c r="B5" s="22" t="inlineStr">
        <is>
          <t>怎么用（3 步）</t>
        </is>
      </c>
    </row>
    <row r="6">
      <c r="B6" s="23" t="inlineStr">
        <is>
          <t>1. 去市场前先看『选品打分表』里我预填的 15 个候选件 —— 都是 168F/GX160/GX200/170F/水泵/发电机的高频易损件。</t>
        </is>
      </c>
    </row>
    <row r="7">
      <c r="B7" s="23" t="inlineStr">
        <is>
          <t>2. 现场把【黄色格子】填上：国内进货价(¥)、起订量、单件重量(g)，再按 1-5 给『更换频率/通用性/竞争激烈度』打分。</t>
        </is>
      </c>
    </row>
    <row r="8">
      <c r="B8" s="23" t="inlineStr">
        <is>
          <t>3. 表格自动算出毛利率和综合评分并排名，『建议』列里标 ✅ 的就是排名前 10、可上架试销的。</t>
        </is>
      </c>
    </row>
    <row r="10">
      <c r="B10" s="24" t="inlineStr">
        <is>
          <t>黄色格子 = 必须现场填 / 可改</t>
        </is>
      </c>
    </row>
    <row r="11">
      <c r="B11" s="25" t="inlineStr">
        <is>
          <t>蓝字 = 假设值（汇率、各项权重），按你实际情况改；黑字 = 公式自动算，别动。</t>
        </is>
      </c>
    </row>
    <row r="13">
      <c r="B13" s="22" t="inlineStr">
        <is>
          <t>评分口径（1-5 分，5 最好）</t>
        </is>
      </c>
    </row>
    <row r="14">
      <c r="B14" s="23" t="inlineStr">
        <is>
          <t>· 更换频率/刚需度：维修店多久换一次。5=几乎每台都换(化油器/火花塞/密封)，1=很少坏。</t>
        </is>
      </c>
    </row>
    <row r="15">
      <c r="B15" s="23" t="inlineStr">
        <is>
          <t>· 通用性：能装多少种机型。5=几乎所有168F/GX系列通用，1=只配单一型号。机型越多越好走量、库存越简单。</t>
        </is>
      </c>
    </row>
    <row r="16">
      <c r="B16" s="23" t="inlineStr">
        <is>
          <t>· 价格竞争力：表格按『毛利率』自动评分，不用手填。</t>
        </is>
      </c>
    </row>
    <row r="17">
      <c r="B17" s="23" t="inlineStr">
        <is>
          <t>· 物流友好：表格按『重量』自动评分(越轻小越好)，不用手填。</t>
        </is>
      </c>
    </row>
    <row r="18">
      <c r="B18" s="23" t="inlineStr">
        <is>
          <t>· 竞争激烈度(蓝海度)：5=海外卖家少/差异化好，1=红海拼价。需自己判断填。</t>
        </is>
      </c>
    </row>
    <row r="20">
      <c r="B20" s="22" t="inlineStr">
        <is>
          <t>关于『海外售价参考』</t>
        </is>
      </c>
    </row>
    <row r="21">
      <c r="B21" s="23" t="inlineStr">
        <is>
          <t>数据来自 Amazon / eBay / Walmart / AliExpress 同类售后件实时挂牌价(2026-06)，取的是售后件(非原厂OEM)价格区间。</t>
        </is>
      </c>
    </row>
    <row r="22">
      <c r="B22" s="25" t="inlineStr">
        <is>
          <t>它代表海外零售『需求 + 价格天花板』，不是你的批发售价；毛利率算的是『相对海外零售的空间』，用来横向比哪个件更值得做。</t>
        </is>
      </c>
    </row>
    <row r="23">
      <c r="B23" s="25" t="inlineStr">
        <is>
          <t>明细见『海外售价参考』标签页。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12" customWidth="1" min="4" max="4"/>
    <col width="10" customWidth="1" min="5" max="5"/>
    <col width="10" customWidth="1" min="6" max="6"/>
    <col width="13" customWidth="1" min="7" max="7"/>
    <col width="34" customWidth="1" min="8" max="8"/>
  </cols>
  <sheetData>
    <row r="1">
      <c r="A1" s="26" t="inlineStr">
        <is>
          <t>海外售价参考（USD · 售后件挂牌价 · 2026-06）</t>
        </is>
      </c>
    </row>
    <row r="2">
      <c r="A2" s="5" t="inlineStr">
        <is>
          <t>来源：Amazon / eBay / Walmart / AliExpress。代表海外零售需求与价格天花板，非批发售价。</t>
        </is>
      </c>
    </row>
    <row r="4">
      <c r="A4" s="27" t="inlineStr">
        <is>
          <t>#</t>
        </is>
      </c>
      <c r="B4" s="27" t="inlineStr">
        <is>
          <t>产品(中)</t>
        </is>
      </c>
      <c r="C4" s="27" t="inlineStr">
        <is>
          <t>Product (EN)</t>
        </is>
      </c>
      <c r="D4" s="27" t="inlineStr">
        <is>
          <t>品类</t>
        </is>
      </c>
      <c r="E4" s="27" t="inlineStr">
        <is>
          <t>最低价 $</t>
        </is>
      </c>
      <c r="F4" s="27" t="inlineStr">
        <is>
          <t>最高价 $</t>
        </is>
      </c>
      <c r="G4" s="27" t="inlineStr">
        <is>
          <t>参考价 $(典型)</t>
        </is>
      </c>
      <c r="H4" s="27" t="inlineStr">
        <is>
          <t>数据来源</t>
        </is>
      </c>
    </row>
    <row r="5">
      <c r="A5" s="9" t="n">
        <v>1</v>
      </c>
      <c r="B5" s="10" t="inlineStr">
        <is>
          <t>化油器</t>
        </is>
      </c>
      <c r="C5" s="10" t="inlineStr">
        <is>
          <t>Carburetor (GX160/GX200/168F)</t>
        </is>
      </c>
      <c r="D5" s="9" t="inlineStr">
        <is>
          <t>燃油系统</t>
        </is>
      </c>
      <c r="E5" s="13" t="n">
        <v>10</v>
      </c>
      <c r="F5" s="13" t="n">
        <v>18</v>
      </c>
      <c r="G5" s="28" t="n">
        <v>14</v>
      </c>
      <c r="H5" s="10" t="inlineStr">
        <is>
          <t>Amazon 售后件 HIPA/Savior/Anxingo</t>
        </is>
      </c>
    </row>
    <row r="6">
      <c r="A6" s="29" t="n">
        <v>2</v>
      </c>
      <c r="B6" s="30" t="inlineStr">
        <is>
          <t>化油器修理包</t>
        </is>
      </c>
      <c r="C6" s="30" t="inlineStr">
        <is>
          <t>Carb rebuild kit (needle/float/gasket)</t>
        </is>
      </c>
      <c r="D6" s="29" t="inlineStr">
        <is>
          <t>燃油系统</t>
        </is>
      </c>
      <c r="E6" s="31" t="n">
        <v>7</v>
      </c>
      <c r="F6" s="31" t="n">
        <v>12</v>
      </c>
      <c r="G6" s="32" t="n">
        <v>9</v>
      </c>
      <c r="H6" s="30" t="inlineStr">
        <is>
          <t>Amazon Sellerocity/通用修理包</t>
        </is>
      </c>
    </row>
    <row r="7">
      <c r="A7" s="9" t="n">
        <v>3</v>
      </c>
      <c r="B7" s="10" t="inlineStr">
        <is>
          <t>手拉启动器总成</t>
        </is>
      </c>
      <c r="C7" s="10" t="inlineStr">
        <is>
          <t>Recoil starter assembly</t>
        </is>
      </c>
      <c r="D7" s="9" t="inlineStr">
        <is>
          <t>启动系统</t>
        </is>
      </c>
      <c r="E7" s="13" t="n">
        <v>15</v>
      </c>
      <c r="F7" s="13" t="n">
        <v>42</v>
      </c>
      <c r="G7" s="28" t="n">
        <v>22</v>
      </c>
      <c r="H7" s="10" t="inlineStr">
        <is>
          <t>Amazon FDJ/Stens/OAKTEN 售后件</t>
        </is>
      </c>
    </row>
    <row r="8">
      <c r="A8" s="29" t="n">
        <v>4</v>
      </c>
      <c r="B8" s="30" t="inlineStr">
        <is>
          <t>点火线圈</t>
        </is>
      </c>
      <c r="C8" s="30" t="inlineStr">
        <is>
          <t>Ignition coil</t>
        </is>
      </c>
      <c r="D8" s="29" t="inlineStr">
        <is>
          <t>点火系统</t>
        </is>
      </c>
      <c r="E8" s="31" t="n">
        <v>10</v>
      </c>
      <c r="F8" s="31" t="n">
        <v>25</v>
      </c>
      <c r="G8" s="32" t="n">
        <v>16</v>
      </c>
      <c r="H8" s="30" t="inlineStr">
        <is>
          <t>Amazon Atunee/通用件</t>
        </is>
      </c>
    </row>
    <row r="9">
      <c r="A9" s="9" t="n">
        <v>5</v>
      </c>
      <c r="B9" s="10" t="inlineStr">
        <is>
          <t>水泵机械密封</t>
        </is>
      </c>
      <c r="C9" s="10" t="inlineStr">
        <is>
          <t>Water pump mechanical seal</t>
        </is>
      </c>
      <c r="D9" s="9" t="inlineStr">
        <is>
          <t>水泵</t>
        </is>
      </c>
      <c r="E9" s="13" t="n">
        <v>7</v>
      </c>
      <c r="F9" s="13" t="n">
        <v>12</v>
      </c>
      <c r="G9" s="28" t="n">
        <v>9</v>
      </c>
      <c r="H9" s="10" t="inlineStr">
        <is>
          <t>AliExpress/Amazon 78130-YB4 类</t>
        </is>
      </c>
    </row>
    <row r="10">
      <c r="A10" s="29" t="n">
        <v>6</v>
      </c>
      <c r="B10" s="30" t="inlineStr">
        <is>
          <t>水泵全套胶圈密封包</t>
        </is>
      </c>
      <c r="C10" s="30" t="inlineStr">
        <is>
          <t>Pump full seal/gasket kit</t>
        </is>
      </c>
      <c r="D10" s="29" t="inlineStr">
        <is>
          <t>水泵</t>
        </is>
      </c>
      <c r="E10" s="31" t="n">
        <v>12</v>
      </c>
      <c r="F10" s="31" t="n">
        <v>20</v>
      </c>
      <c r="G10" s="32" t="n">
        <v>15</v>
      </c>
      <c r="H10" s="30" t="inlineStr">
        <is>
          <t>Amazon/wsepo 2寸泵密封包</t>
        </is>
      </c>
    </row>
    <row r="11">
      <c r="A11" s="9" t="n">
        <v>7</v>
      </c>
      <c r="B11" s="10" t="inlineStr">
        <is>
          <t>发电机 AVR</t>
        </is>
      </c>
      <c r="C11" s="10" t="inlineStr">
        <is>
          <t>Generator AVR (2-3kW)</t>
        </is>
      </c>
      <c r="D11" s="9" t="inlineStr">
        <is>
          <t>发电机</t>
        </is>
      </c>
      <c r="E11" s="13" t="n">
        <v>9</v>
      </c>
      <c r="F11" s="13" t="n">
        <v>15</v>
      </c>
      <c r="G11" s="28" t="n">
        <v>12</v>
      </c>
      <c r="H11" s="10" t="inlineStr">
        <is>
          <t>Amazon/Walmart 168F 2-3kW AVR</t>
        </is>
      </c>
    </row>
    <row r="12">
      <c r="A12" s="29" t="n">
        <v>8</v>
      </c>
      <c r="B12" s="30" t="inlineStr">
        <is>
          <t>活塞环+大修垫片包</t>
        </is>
      </c>
      <c r="C12" s="30" t="inlineStr">
        <is>
          <t>Piston ring + gasket rebuild kit</t>
        </is>
      </c>
      <c r="D12" s="29" t="inlineStr">
        <is>
          <t>发动机大修</t>
        </is>
      </c>
      <c r="E12" s="31" t="n">
        <v>15</v>
      </c>
      <c r="F12" s="31" t="n">
        <v>24</v>
      </c>
      <c r="G12" s="32" t="n">
        <v>19</v>
      </c>
      <c r="H12" s="30" t="inlineStr">
        <is>
          <t>Amazon HAISHINE/ApplianPar; eBay</t>
        </is>
      </c>
    </row>
    <row r="13">
      <c r="A13" s="9" t="n">
        <v>9</v>
      </c>
      <c r="B13" s="10" t="inlineStr">
        <is>
          <t>全套垫片</t>
        </is>
      </c>
      <c r="C13" s="10" t="inlineStr">
        <is>
          <t>Full gasket set</t>
        </is>
      </c>
      <c r="D13" s="9" t="inlineStr">
        <is>
          <t>发动机</t>
        </is>
      </c>
      <c r="E13" s="13" t="n">
        <v>10</v>
      </c>
      <c r="F13" s="13" t="n">
        <v>18</v>
      </c>
      <c r="G13" s="28" t="n">
        <v>13</v>
      </c>
      <c r="H13" s="10" t="inlineStr">
        <is>
          <t>Amazon TXGXMB 垫片套</t>
        </is>
      </c>
    </row>
    <row r="14">
      <c r="A14" s="29" t="n">
        <v>10</v>
      </c>
      <c r="B14" s="30" t="inlineStr">
        <is>
          <t>火花塞</t>
        </is>
      </c>
      <c r="C14" s="30" t="inlineStr">
        <is>
          <t>Spark plug</t>
        </is>
      </c>
      <c r="D14" s="29" t="inlineStr">
        <is>
          <t>点火系统</t>
        </is>
      </c>
      <c r="E14" s="31" t="n">
        <v>3</v>
      </c>
      <c r="F14" s="31" t="n">
        <v>8</v>
      </c>
      <c r="G14" s="32" t="n">
        <v>5</v>
      </c>
      <c r="H14" s="30" t="inlineStr">
        <is>
          <t>Amazon 通用件(常以套装出现)</t>
        </is>
      </c>
    </row>
    <row r="15">
      <c r="A15" s="9" t="n">
        <v>11</v>
      </c>
      <c r="B15" s="10" t="inlineStr">
        <is>
          <t>空气滤芯</t>
        </is>
      </c>
      <c r="C15" s="10" t="inlineStr">
        <is>
          <t>Air filter</t>
        </is>
      </c>
      <c r="D15" s="9" t="inlineStr">
        <is>
          <t>进气</t>
        </is>
      </c>
      <c r="E15" s="13" t="n">
        <v>4</v>
      </c>
      <c r="F15" s="13" t="n">
        <v>9</v>
      </c>
      <c r="G15" s="28" t="n">
        <v>6</v>
      </c>
      <c r="H15" s="10" t="inlineStr">
        <is>
          <t>Amazon 通用件</t>
        </is>
      </c>
    </row>
    <row r="16">
      <c r="A16" s="29" t="n">
        <v>12</v>
      </c>
      <c r="B16" s="30" t="inlineStr">
        <is>
          <t>燃油开关/油杯</t>
        </is>
      </c>
      <c r="C16" s="30" t="inlineStr">
        <is>
          <t>Fuel petcock / tap</t>
        </is>
      </c>
      <c r="D16" s="29" t="inlineStr">
        <is>
          <t>燃油系统</t>
        </is>
      </c>
      <c r="E16" s="31" t="n">
        <v>5</v>
      </c>
      <c r="F16" s="31" t="n">
        <v>10</v>
      </c>
      <c r="G16" s="32" t="n">
        <v>7</v>
      </c>
      <c r="H16" s="30" t="inlineStr">
        <is>
          <t>Amazon/eBay 通用件</t>
        </is>
      </c>
    </row>
    <row r="17">
      <c r="A17" s="9" t="n">
        <v>13</v>
      </c>
      <c r="B17" s="10" t="inlineStr">
        <is>
          <t>启动绳+手柄</t>
        </is>
      </c>
      <c r="C17" s="10" t="inlineStr">
        <is>
          <t>Pull rope + handle</t>
        </is>
      </c>
      <c r="D17" s="9" t="inlineStr">
        <is>
          <t>启动系统</t>
        </is>
      </c>
      <c r="E17" s="13" t="n">
        <v>4</v>
      </c>
      <c r="F17" s="13" t="n">
        <v>8</v>
      </c>
      <c r="G17" s="28" t="n">
        <v>6</v>
      </c>
      <c r="H17" s="10" t="inlineStr">
        <is>
          <t>Amazon 通用件</t>
        </is>
      </c>
    </row>
    <row r="18">
      <c r="A18" s="29" t="n">
        <v>14</v>
      </c>
      <c r="B18" s="30" t="inlineStr">
        <is>
          <t>发电机碳刷</t>
        </is>
      </c>
      <c r="C18" s="30" t="inlineStr">
        <is>
          <t>Carbon brush set</t>
        </is>
      </c>
      <c r="D18" s="29" t="inlineStr">
        <is>
          <t>发电机</t>
        </is>
      </c>
      <c r="E18" s="31" t="n">
        <v>5</v>
      </c>
      <c r="F18" s="31" t="n">
        <v>10</v>
      </c>
      <c r="G18" s="32" t="n">
        <v>7</v>
      </c>
      <c r="H18" s="30" t="inlineStr">
        <is>
          <t>Amazon/eBay 通用件</t>
        </is>
      </c>
    </row>
    <row r="19">
      <c r="A19" s="9" t="n">
        <v>15</v>
      </c>
      <c r="B19" s="10" t="inlineStr">
        <is>
          <t>调试套装(化油器+空滤+火花塞)</t>
        </is>
      </c>
      <c r="C19" s="10" t="inlineStr">
        <is>
          <t>Tune-up combo kit</t>
        </is>
      </c>
      <c r="D19" s="9" t="inlineStr">
        <is>
          <t>组合套件</t>
        </is>
      </c>
      <c r="E19" s="13" t="n">
        <v>15</v>
      </c>
      <c r="F19" s="13" t="n">
        <v>25</v>
      </c>
      <c r="G19" s="28" t="n">
        <v>19</v>
      </c>
      <c r="H19" s="10" t="inlineStr">
        <is>
          <t>Amazon 组合套装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2026-06-13T17:49:40Z</dcterms:created>
  <dcterms:modified xmlns:dcterms="http://purl.org/dc/terms/" xmlns:xsi="http://www.w3.org/2001/XMLSchema-instance" xsi:type="dcterms:W3CDTF">2026-06-13T17:49:40Z</dcterms:modified>
</cp:coreProperties>
</file>